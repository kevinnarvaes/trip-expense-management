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GitHub\trip-expense-management\data-pipelines\data\"/>
    </mc:Choice>
  </mc:AlternateContent>
  <xr:revisionPtr revIDLastSave="0" documentId="13_ncr:1_{18AC04EC-02C2-4FE4-9E9C-22F49B38B674}" xr6:coauthVersionLast="47" xr6:coauthVersionMax="47" xr10:uidLastSave="{00000000-0000-0000-0000-000000000000}"/>
  <bookViews>
    <workbookView xWindow="43080" yWindow="-120" windowWidth="29040" windowHeight="16440" activeTab="3" xr2:uid="{00000000-000D-0000-FFFF-FFFF00000000}"/>
  </bookViews>
  <sheets>
    <sheet name="Trips" sheetId="1" r:id="rId1"/>
    <sheet name="Travelers" sheetId="2" r:id="rId2"/>
    <sheet name="Expenses" sheetId="3" r:id="rId3"/>
    <sheet name="Payment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" i="4" l="1"/>
  <c r="H5" i="4"/>
  <c r="B5" i="4" a="1"/>
  <c r="B5" i="4" s="1"/>
  <c r="I4" i="4"/>
  <c r="H4" i="4"/>
  <c r="B4" i="4" a="1"/>
  <c r="B4" i="4" s="1"/>
  <c r="I3" i="4"/>
  <c r="H3" i="4"/>
  <c r="B3" i="4" a="1"/>
  <c r="B3" i="4" s="1"/>
  <c r="M59" i="3"/>
  <c r="L59" i="3"/>
  <c r="B59" i="3" a="1"/>
  <c r="B59" i="3" s="1"/>
  <c r="M58" i="3"/>
  <c r="L58" i="3"/>
  <c r="B58" i="3" a="1"/>
  <c r="B58" i="3" s="1"/>
  <c r="M57" i="3"/>
  <c r="L57" i="3"/>
  <c r="B57" i="3" a="1"/>
  <c r="B57" i="3" s="1"/>
  <c r="M56" i="3"/>
  <c r="L56" i="3"/>
  <c r="B56" i="3" a="1"/>
  <c r="B56" i="3" s="1"/>
  <c r="M55" i="3"/>
  <c r="L55" i="3"/>
  <c r="B55" i="3" a="1"/>
  <c r="B55" i="3" s="1"/>
  <c r="M54" i="3"/>
  <c r="L54" i="3"/>
  <c r="B54" i="3" a="1"/>
  <c r="B54" i="3" s="1"/>
  <c r="M53" i="3"/>
  <c r="L53" i="3"/>
  <c r="B53" i="3" a="1"/>
  <c r="B53" i="3" s="1"/>
  <c r="M52" i="3"/>
  <c r="L52" i="3"/>
  <c r="B52" i="3" a="1"/>
  <c r="B52" i="3" s="1"/>
  <c r="M51" i="3"/>
  <c r="L51" i="3"/>
  <c r="B51" i="3" a="1"/>
  <c r="B51" i="3" s="1"/>
  <c r="M50" i="3"/>
  <c r="L50" i="3"/>
  <c r="B50" i="3" a="1"/>
  <c r="B50" i="3" s="1"/>
  <c r="M49" i="3"/>
  <c r="L49" i="3"/>
  <c r="B49" i="3" a="1"/>
  <c r="B49" i="3" s="1"/>
  <c r="M48" i="3"/>
  <c r="L48" i="3"/>
  <c r="B48" i="3" a="1"/>
  <c r="B48" i="3" s="1"/>
  <c r="M47" i="3"/>
  <c r="L47" i="3"/>
  <c r="B47" i="3" a="1"/>
  <c r="B47" i="3" s="1"/>
  <c r="M46" i="3"/>
  <c r="L46" i="3"/>
  <c r="B46" i="3" a="1"/>
  <c r="B46" i="3" s="1"/>
  <c r="M45" i="3"/>
  <c r="L45" i="3"/>
  <c r="B45" i="3" a="1"/>
  <c r="B45" i="3" s="1"/>
  <c r="M44" i="3"/>
  <c r="L44" i="3"/>
  <c r="B44" i="3" a="1"/>
  <c r="B44" i="3" s="1"/>
  <c r="M43" i="3"/>
  <c r="L43" i="3"/>
  <c r="B43" i="3" a="1"/>
  <c r="B43" i="3" s="1"/>
  <c r="M42" i="3"/>
  <c r="L42" i="3"/>
  <c r="B42" i="3" a="1"/>
  <c r="B42" i="3" s="1"/>
  <c r="K41" i="3"/>
  <c r="M41" i="3" s="1"/>
  <c r="B41" i="3" a="1"/>
  <c r="B41" i="3" s="1"/>
  <c r="M40" i="3"/>
  <c r="L40" i="3"/>
  <c r="B40" i="3" a="1"/>
  <c r="B40" i="3" s="1"/>
  <c r="M39" i="3"/>
  <c r="L39" i="3"/>
  <c r="B39" i="3" a="1"/>
  <c r="B39" i="3" s="1"/>
  <c r="M38" i="3"/>
  <c r="L38" i="3"/>
  <c r="B38" i="3" a="1"/>
  <c r="B38" i="3" s="1"/>
  <c r="M37" i="3"/>
  <c r="L37" i="3"/>
  <c r="B37" i="3" a="1"/>
  <c r="B37" i="3" s="1"/>
  <c r="M36" i="3"/>
  <c r="L36" i="3"/>
  <c r="B36" i="3" a="1"/>
  <c r="B36" i="3" s="1"/>
  <c r="M35" i="3"/>
  <c r="L35" i="3"/>
  <c r="B35" i="3" a="1"/>
  <c r="B35" i="3" s="1"/>
  <c r="M34" i="3"/>
  <c r="L34" i="3"/>
  <c r="B34" i="3" a="1"/>
  <c r="B34" i="3" s="1"/>
  <c r="M33" i="3"/>
  <c r="L33" i="3"/>
  <c r="B33" i="3" a="1"/>
  <c r="B33" i="3" s="1"/>
  <c r="M32" i="3"/>
  <c r="L32" i="3"/>
  <c r="B32" i="3" a="1"/>
  <c r="B32" i="3" s="1"/>
  <c r="M31" i="3"/>
  <c r="L31" i="3"/>
  <c r="B31" i="3" a="1"/>
  <c r="B31" i="3" s="1"/>
  <c r="M30" i="3"/>
  <c r="L30" i="3"/>
  <c r="B30" i="3" a="1"/>
  <c r="B30" i="3" s="1"/>
  <c r="M29" i="3"/>
  <c r="L29" i="3"/>
  <c r="B29" i="3" a="1"/>
  <c r="B29" i="3" s="1"/>
  <c r="M28" i="3"/>
  <c r="L28" i="3"/>
  <c r="B28" i="3" a="1"/>
  <c r="B28" i="3" s="1"/>
  <c r="M27" i="3"/>
  <c r="L27" i="3"/>
  <c r="B27" i="3" a="1"/>
  <c r="B27" i="3" s="1"/>
  <c r="M26" i="3"/>
  <c r="L26" i="3"/>
  <c r="B26" i="3" a="1"/>
  <c r="B26" i="3" s="1"/>
  <c r="M25" i="3"/>
  <c r="L25" i="3"/>
  <c r="B25" i="3" a="1"/>
  <c r="B25" i="3" s="1"/>
  <c r="M24" i="3"/>
  <c r="L24" i="3"/>
  <c r="B24" i="3" a="1"/>
  <c r="B24" i="3" s="1"/>
  <c r="M23" i="3"/>
  <c r="L23" i="3"/>
  <c r="B23" i="3" a="1"/>
  <c r="B23" i="3" s="1"/>
  <c r="M22" i="3"/>
  <c r="L22" i="3"/>
  <c r="B22" i="3" a="1"/>
  <c r="B22" i="3" s="1"/>
  <c r="M21" i="3"/>
  <c r="L21" i="3"/>
  <c r="B21" i="3" a="1"/>
  <c r="B21" i="3" s="1"/>
  <c r="M20" i="3"/>
  <c r="L20" i="3"/>
  <c r="B20" i="3" a="1"/>
  <c r="B20" i="3" s="1"/>
  <c r="M19" i="3"/>
  <c r="L19" i="3"/>
  <c r="B19" i="3" a="1"/>
  <c r="B19" i="3" s="1"/>
  <c r="M18" i="3"/>
  <c r="L18" i="3"/>
  <c r="B18" i="3" a="1"/>
  <c r="B18" i="3" s="1"/>
  <c r="M17" i="3"/>
  <c r="L17" i="3"/>
  <c r="B17" i="3" a="1"/>
  <c r="B17" i="3" s="1"/>
  <c r="M16" i="3"/>
  <c r="L16" i="3"/>
  <c r="B16" i="3" a="1"/>
  <c r="B16" i="3" s="1"/>
  <c r="M15" i="3"/>
  <c r="L15" i="3"/>
  <c r="B15" i="3" a="1"/>
  <c r="B15" i="3" s="1"/>
  <c r="M14" i="3"/>
  <c r="L14" i="3"/>
  <c r="B14" i="3" a="1"/>
  <c r="B14" i="3" s="1"/>
  <c r="M13" i="3"/>
  <c r="L13" i="3"/>
  <c r="B13" i="3" a="1"/>
  <c r="B13" i="3" s="1"/>
  <c r="M12" i="3"/>
  <c r="L12" i="3"/>
  <c r="B12" i="3" a="1"/>
  <c r="B12" i="3" s="1"/>
  <c r="M11" i="3"/>
  <c r="L11" i="3"/>
  <c r="B11" i="3" a="1"/>
  <c r="B11" i="3" s="1"/>
  <c r="M10" i="3"/>
  <c r="L10" i="3"/>
  <c r="B10" i="3" a="1"/>
  <c r="B10" i="3" s="1"/>
  <c r="M9" i="3"/>
  <c r="L9" i="3"/>
  <c r="B9" i="3" a="1"/>
  <c r="B9" i="3" s="1"/>
  <c r="M8" i="3"/>
  <c r="L8" i="3"/>
  <c r="B8" i="3" a="1"/>
  <c r="B8" i="3" s="1"/>
  <c r="M7" i="3"/>
  <c r="L7" i="3"/>
  <c r="B7" i="3" a="1"/>
  <c r="B7" i="3" s="1"/>
  <c r="M6" i="3"/>
  <c r="L6" i="3"/>
  <c r="B6" i="3" a="1"/>
  <c r="B6" i="3" s="1"/>
  <c r="M5" i="3"/>
  <c r="L5" i="3"/>
  <c r="B5" i="3" a="1"/>
  <c r="B5" i="3" s="1"/>
  <c r="M4" i="3"/>
  <c r="L4" i="3"/>
  <c r="B4" i="3" a="1"/>
  <c r="B4" i="3" s="1"/>
  <c r="M3" i="3"/>
  <c r="L3" i="3"/>
  <c r="B3" i="3" a="1"/>
  <c r="B3" i="3" s="1"/>
  <c r="L41" i="3" l="1"/>
</calcChain>
</file>

<file path=xl/sharedStrings.xml><?xml version="1.0" encoding="utf-8"?>
<sst xmlns="http://schemas.openxmlformats.org/spreadsheetml/2006/main" count="455" uniqueCount="105">
  <si>
    <t>ID</t>
  </si>
  <si>
    <t>Trip</t>
  </si>
  <si>
    <t>Trip ID</t>
  </si>
  <si>
    <t>Traveler</t>
  </si>
  <si>
    <t>Destination</t>
  </si>
  <si>
    <t>Start Date</t>
  </si>
  <si>
    <t>P000</t>
  </si>
  <si>
    <t>End Date</t>
  </si>
  <si>
    <t>T001</t>
  </si>
  <si>
    <t>Todos</t>
  </si>
  <si>
    <t>SPS Sep 2026</t>
  </si>
  <si>
    <t>P001</t>
  </si>
  <si>
    <t>San Pedro Sula</t>
  </si>
  <si>
    <t>Ken</t>
  </si>
  <si>
    <t>P002</t>
  </si>
  <si>
    <t>Reason</t>
  </si>
  <si>
    <t>Jimmy</t>
  </si>
  <si>
    <t>P003</t>
  </si>
  <si>
    <t>Megan</t>
  </si>
  <si>
    <t>Date</t>
  </si>
  <si>
    <t>P004</t>
  </si>
  <si>
    <t>Kevin</t>
  </si>
  <si>
    <t>P005</t>
  </si>
  <si>
    <t>Type</t>
  </si>
  <si>
    <t>Dayana</t>
  </si>
  <si>
    <t>Product</t>
  </si>
  <si>
    <t>Debtor</t>
  </si>
  <si>
    <t>Lander</t>
  </si>
  <si>
    <t>Currency</t>
  </si>
  <si>
    <t>Rate</t>
  </si>
  <si>
    <t>Monto</t>
  </si>
  <si>
    <t>Monto LPS</t>
  </si>
  <si>
    <t>Monto USD</t>
  </si>
  <si>
    <t>Airbnb</t>
  </si>
  <si>
    <t>Amenidades</t>
  </si>
  <si>
    <t>$</t>
  </si>
  <si>
    <t>Wendys</t>
  </si>
  <si>
    <t>Restaurantes</t>
  </si>
  <si>
    <t>BAC MUSH M</t>
  </si>
  <si>
    <t>L</t>
  </si>
  <si>
    <t>DAVE C</t>
  </si>
  <si>
    <t>AGRANDADO</t>
  </si>
  <si>
    <t>#8 10 NUGG</t>
  </si>
  <si>
    <t>WRAPS POLL</t>
  </si>
  <si>
    <t>QUESIHAMBU</t>
  </si>
  <si>
    <t>Pedidos Ya</t>
  </si>
  <si>
    <t>Compras Super</t>
  </si>
  <si>
    <t>Agua y Fresco</t>
  </si>
  <si>
    <t>Expresso Americano</t>
  </si>
  <si>
    <t>Caffe Latte 12 Oz</t>
  </si>
  <si>
    <t>Caffe Latte 16 Oz</t>
  </si>
  <si>
    <t>Americano Frio de 12 Oz</t>
  </si>
  <si>
    <t>English Muffin Salchicha y Huevo</t>
  </si>
  <si>
    <t>Refresher Fresa Con Limon 16 Oz</t>
  </si>
  <si>
    <t>Brisa Marina</t>
  </si>
  <si>
    <t>Filete de pez</t>
  </si>
  <si>
    <t>Coca Zero</t>
  </si>
  <si>
    <t>Hamburguesa</t>
  </si>
  <si>
    <t>Pollo</t>
  </si>
  <si>
    <t>Coca Normal</t>
  </si>
  <si>
    <t>Camarón</t>
  </si>
  <si>
    <t>Michelada</t>
  </si>
  <si>
    <t>Agua</t>
  </si>
  <si>
    <t>Propina</t>
  </si>
  <si>
    <t>Playa</t>
  </si>
  <si>
    <t>Entretenimiento</t>
  </si>
  <si>
    <t>Entrada Playa</t>
  </si>
  <si>
    <t>Cover</t>
  </si>
  <si>
    <t>JB+1D</t>
  </si>
  <si>
    <t>CityPark</t>
  </si>
  <si>
    <t>NACHOS</t>
  </si>
  <si>
    <t>SALVA VIDA 1</t>
  </si>
  <si>
    <t>SALVA VIDA 2</t>
  </si>
  <si>
    <t>BOTE CON AGUA 1</t>
  </si>
  <si>
    <t>BOTE CON AGUA 2</t>
  </si>
  <si>
    <t>MARGARITA LIMON</t>
  </si>
  <si>
    <t>PIÑA COLADA</t>
  </si>
  <si>
    <t>LONG ISLAND 1</t>
  </si>
  <si>
    <t>LONG ISLAND 2</t>
  </si>
  <si>
    <t>PROPINA</t>
  </si>
  <si>
    <t>Uber CityPark</t>
  </si>
  <si>
    <t>Transporte</t>
  </si>
  <si>
    <t>Uber</t>
  </si>
  <si>
    <t>iHop</t>
  </si>
  <si>
    <t>Breakfast Sampler</t>
  </si>
  <si>
    <t>Strawberry Lemonade Splash</t>
  </si>
  <si>
    <t>Te Helado</t>
  </si>
  <si>
    <t>Burrito de 3 Carnes</t>
  </si>
  <si>
    <t>Burrito Con Chorizo</t>
  </si>
  <si>
    <t>Horchata Mucho</t>
  </si>
  <si>
    <t>New York Cheesecake Pancake</t>
  </si>
  <si>
    <t>Never Empty Coffee</t>
  </si>
  <si>
    <t>Philly Cheese Steak Stacker</t>
  </si>
  <si>
    <t>Cafe Latte</t>
  </si>
  <si>
    <t>Leche Deslactosada</t>
  </si>
  <si>
    <t xml:space="preserve">Starbucks </t>
  </si>
  <si>
    <t>Iced Caramel Macchiato</t>
  </si>
  <si>
    <t>Strawberry Cream Frappuccino</t>
  </si>
  <si>
    <t>Mango Dragon Lemon</t>
  </si>
  <si>
    <t>Iced Chai Latte XL</t>
  </si>
  <si>
    <t>KatraChamoy</t>
  </si>
  <si>
    <t>Pollo Chuco</t>
  </si>
  <si>
    <t>Gasolina</t>
  </si>
  <si>
    <t>Gasolina Ida</t>
  </si>
  <si>
    <t>Gasolina Vuelta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</si>
</sst>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2" formatCode="_(&quot;$&quot;* #,##0_);_(&quot;$&quot;* \(#,##0\);_(&quot;$&quot;* &quot;-&quot;_);_(@_)"/>
    <numFmt numFmtId="164" formatCode="yyyy\-mm\-dd"/>
    <numFmt numFmtId="165" formatCode="ddd&quot;, &quot;mmm&quot; &quot;d&quot;, &quot;yyyy"/>
    <numFmt numFmtId="166" formatCode="_(\L* #,##0.00_);_(\L* \(#,##0.00\);_(\L* &quot;-&quot;_);_(@_)"/>
    <numFmt numFmtId="167" formatCode="_(\$* #,##0.00_);_(\$* \(#,##0.00\);_(\$* &quot;-&quot;_);_(@_)"/>
  </numFmts>
  <fonts count="17" x14ac:knownFonts="1">
    <font>
      <sz val="10"/>
      <color rgb="FF000000"/>
      <name val="Arial"/>
      <scheme val="minor"/>
    </font>
    <font>
      <b/>
      <sz val="13"/>
      <color theme="1"/>
      <name val="Arial"/>
      <scheme val="minor"/>
    </font>
    <font>
      <sz val="13"/>
      <color theme="1"/>
      <name val="Arial"/>
      <scheme val="minor"/>
    </font>
    <font>
      <b/>
      <sz val="10"/>
      <color theme="1"/>
      <name val="Arial"/>
      <scheme val="minor"/>
    </font>
    <font>
      <b/>
      <sz val="10"/>
      <color rgb="FFFFFFFF"/>
      <name val="Roboto"/>
    </font>
    <font>
      <sz val="10"/>
      <color theme="1"/>
      <name val="Arial"/>
      <scheme val="minor"/>
    </font>
    <font>
      <sz val="10"/>
      <color rgb="FF434343"/>
      <name val="Roboto"/>
    </font>
    <font>
      <sz val="14"/>
      <color theme="1"/>
      <name val="Arial"/>
      <scheme val="minor"/>
    </font>
    <font>
      <sz val="10"/>
      <color rgb="FFB10202"/>
      <name val="Roboto"/>
    </font>
    <font>
      <sz val="10"/>
      <color rgb="FF2C481F"/>
      <name val="Roboto"/>
    </font>
    <font>
      <sz val="10"/>
      <color theme="1"/>
      <name val="Roboto"/>
    </font>
    <font>
      <sz val="10"/>
      <color rgb="FF5A3286"/>
      <name val="Roboto"/>
    </font>
    <font>
      <sz val="10"/>
      <color rgb="FF133819"/>
      <name val="Roboto"/>
    </font>
    <font>
      <sz val="10"/>
      <color rgb="FF215A6C"/>
      <name val="Roboto"/>
    </font>
    <font>
      <sz val="10"/>
      <color rgb="FF2A3243"/>
      <name val="Roboto"/>
    </font>
    <font>
      <sz val="10"/>
      <color rgb="FF0A53A8"/>
      <name val="Roboto"/>
    </font>
    <font>
      <sz val="10"/>
      <color rgb="FFBFE0F6"/>
      <name val="Roboto"/>
    </font>
  </fonts>
  <fills count="6">
    <fill>
      <patternFill patternType="none"/>
    </fill>
    <fill>
      <patternFill patternType="gray125"/>
    </fill>
    <fill>
      <patternFill patternType="solid">
        <fgColor rgb="FF356854"/>
        <bgColor rgb="FF356854"/>
      </patternFill>
    </fill>
    <fill>
      <patternFill patternType="solid">
        <fgColor rgb="FFEEF7FF"/>
        <bgColor rgb="FFEEF7FF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8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/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5" fillId="0" borderId="1" xfId="0" applyFont="1" applyBorder="1" applyAlignment="1">
      <alignment vertical="center"/>
    </xf>
    <xf numFmtId="49" fontId="4" fillId="2" borderId="3" xfId="0" applyNumberFormat="1" applyFont="1" applyFill="1" applyBorder="1" applyAlignment="1">
      <alignment horizontal="left" vertical="center"/>
    </xf>
    <xf numFmtId="164" fontId="6" fillId="3" borderId="4" xfId="0" applyNumberFormat="1" applyFont="1" applyFill="1" applyBorder="1" applyAlignment="1">
      <alignment vertical="center"/>
    </xf>
    <xf numFmtId="0" fontId="4" fillId="2" borderId="5" xfId="0" applyFont="1" applyFill="1" applyBorder="1" applyAlignment="1">
      <alignment horizontal="left" vertical="center"/>
    </xf>
    <xf numFmtId="165" fontId="4" fillId="2" borderId="5" xfId="0" applyNumberFormat="1" applyFont="1" applyFill="1" applyBorder="1" applyAlignment="1">
      <alignment horizontal="right" vertical="center"/>
    </xf>
    <xf numFmtId="0" fontId="7" fillId="0" borderId="0" xfId="0" applyFont="1"/>
    <xf numFmtId="49" fontId="4" fillId="2" borderId="5" xfId="0" applyNumberFormat="1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4" fontId="4" fillId="2" borderId="5" xfId="0" applyNumberFormat="1" applyFont="1" applyFill="1" applyBorder="1" applyAlignment="1">
      <alignment horizontal="left" vertical="center"/>
    </xf>
    <xf numFmtId="42" fontId="4" fillId="2" borderId="6" xfId="0" applyNumberFormat="1" applyFont="1" applyFill="1" applyBorder="1" applyAlignment="1">
      <alignment horizontal="left" vertical="center"/>
    </xf>
    <xf numFmtId="0" fontId="6" fillId="4" borderId="4" xfId="0" applyFont="1" applyFill="1" applyBorder="1" applyAlignment="1">
      <alignment vertical="center"/>
    </xf>
    <xf numFmtId="165" fontId="6" fillId="3" borderId="4" xfId="0" applyNumberFormat="1" applyFont="1" applyFill="1" applyBorder="1" applyAlignment="1">
      <alignment vertical="center"/>
    </xf>
    <xf numFmtId="0" fontId="8" fillId="4" borderId="4" xfId="0" applyFont="1" applyFill="1" applyBorder="1" applyAlignment="1">
      <alignment vertical="center"/>
    </xf>
    <xf numFmtId="0" fontId="9" fillId="4" borderId="4" xfId="0" applyFont="1" applyFill="1" applyBorder="1" applyAlignment="1">
      <alignment vertical="center"/>
    </xf>
    <xf numFmtId="0" fontId="10" fillId="0" borderId="4" xfId="0" applyFont="1" applyBorder="1" applyAlignment="1">
      <alignment vertical="center"/>
    </xf>
    <xf numFmtId="0" fontId="6" fillId="4" borderId="4" xfId="0" applyFont="1" applyFill="1" applyBorder="1" applyAlignment="1">
      <alignment horizontal="center" vertical="center"/>
    </xf>
    <xf numFmtId="166" fontId="6" fillId="4" borderId="4" xfId="0" applyNumberFormat="1" applyFont="1" applyFill="1" applyBorder="1" applyAlignment="1">
      <alignment horizontal="right" vertical="center"/>
    </xf>
    <xf numFmtId="4" fontId="6" fillId="4" borderId="4" xfId="0" applyNumberFormat="1" applyFont="1" applyFill="1" applyBorder="1" applyAlignment="1">
      <alignment horizontal="right" vertical="center"/>
    </xf>
    <xf numFmtId="167" fontId="6" fillId="4" borderId="4" xfId="0" applyNumberFormat="1" applyFont="1" applyFill="1" applyBorder="1" applyAlignment="1">
      <alignment horizontal="right" vertical="center"/>
    </xf>
    <xf numFmtId="0" fontId="6" fillId="5" borderId="4" xfId="0" applyFont="1" applyFill="1" applyBorder="1" applyAlignment="1">
      <alignment vertical="center"/>
    </xf>
    <xf numFmtId="0" fontId="11" fillId="5" borderId="4" xfId="0" applyFont="1" applyFill="1" applyBorder="1" applyAlignment="1">
      <alignment vertical="center"/>
    </xf>
    <xf numFmtId="0" fontId="12" fillId="5" borderId="4" xfId="0" applyFont="1" applyFill="1" applyBorder="1" applyAlignment="1">
      <alignment vertical="center"/>
    </xf>
    <xf numFmtId="0" fontId="6" fillId="5" borderId="4" xfId="0" applyFont="1" applyFill="1" applyBorder="1" applyAlignment="1">
      <alignment horizontal="center" vertical="center"/>
    </xf>
    <xf numFmtId="4" fontId="6" fillId="5" borderId="4" xfId="0" applyNumberFormat="1" applyFont="1" applyFill="1" applyBorder="1" applyAlignment="1">
      <alignment horizontal="right" vertical="center"/>
    </xf>
    <xf numFmtId="166" fontId="6" fillId="5" borderId="4" xfId="0" applyNumberFormat="1" applyFont="1" applyFill="1" applyBorder="1" applyAlignment="1">
      <alignment horizontal="right" vertical="center"/>
    </xf>
    <xf numFmtId="167" fontId="6" fillId="5" borderId="4" xfId="0" applyNumberFormat="1" applyFont="1" applyFill="1" applyBorder="1" applyAlignment="1">
      <alignment horizontal="right" vertical="center"/>
    </xf>
    <xf numFmtId="0" fontId="11" fillId="4" borderId="4" xfId="0" applyFont="1" applyFill="1" applyBorder="1" applyAlignment="1">
      <alignment vertical="center"/>
    </xf>
    <xf numFmtId="0" fontId="13" fillId="4" borderId="4" xfId="0" applyFont="1" applyFill="1" applyBorder="1" applyAlignment="1">
      <alignment vertical="center"/>
    </xf>
    <xf numFmtId="0" fontId="14" fillId="5" borderId="4" xfId="0" applyFont="1" applyFill="1" applyBorder="1" applyAlignment="1">
      <alignment vertical="center"/>
    </xf>
    <xf numFmtId="0" fontId="14" fillId="4" borderId="4" xfId="0" applyFont="1" applyFill="1" applyBorder="1" applyAlignment="1">
      <alignment vertical="center"/>
    </xf>
    <xf numFmtId="0" fontId="9" fillId="5" borderId="4" xfId="0" applyFont="1" applyFill="1" applyBorder="1" applyAlignment="1">
      <alignment vertical="center"/>
    </xf>
    <xf numFmtId="0" fontId="12" fillId="4" borderId="4" xfId="0" applyFont="1" applyFill="1" applyBorder="1" applyAlignment="1">
      <alignment vertical="center"/>
    </xf>
    <xf numFmtId="0" fontId="6" fillId="5" borderId="7" xfId="0" applyFont="1" applyFill="1" applyBorder="1" applyAlignment="1">
      <alignment vertical="center"/>
    </xf>
    <xf numFmtId="0" fontId="13" fillId="5" borderId="4" xfId="0" applyFont="1" applyFill="1" applyBorder="1" applyAlignment="1">
      <alignment vertical="center"/>
    </xf>
    <xf numFmtId="0" fontId="15" fillId="4" borderId="4" xfId="0" applyFont="1" applyFill="1" applyBorder="1" applyAlignment="1">
      <alignment vertical="center"/>
    </xf>
    <xf numFmtId="0" fontId="15" fillId="5" borderId="4" xfId="0" applyFont="1" applyFill="1" applyBorder="1" applyAlignment="1">
      <alignment vertical="center"/>
    </xf>
    <xf numFmtId="0" fontId="16" fillId="4" borderId="4" xfId="0" applyFont="1" applyFill="1" applyBorder="1" applyAlignment="1">
      <alignment vertical="center"/>
    </xf>
    <xf numFmtId="0" fontId="16" fillId="5" borderId="4" xfId="0" applyFont="1" applyFill="1" applyBorder="1" applyAlignment="1">
      <alignment vertical="center"/>
    </xf>
    <xf numFmtId="0" fontId="5" fillId="0" borderId="0" xfId="0" applyFont="1" applyAlignment="1">
      <alignment horizontal="center"/>
    </xf>
  </cellXfs>
  <cellStyles count="1">
    <cellStyle name="Normal" xfId="0" builtinId="0"/>
  </cellStyles>
  <dxfs count="12"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</dxfs>
  <tableStyles count="3">
    <tableStyle name="Travelers-style" pivot="0" count="4" xr9:uid="{00000000-0011-0000-FFFF-FFFF00000000}">
      <tableStyleElement type="wholeTable" size="0" dxfId="8"/>
      <tableStyleElement type="headerRow" dxfId="11"/>
      <tableStyleElement type="firstRowStripe" dxfId="10"/>
      <tableStyleElement type="secondRowStripe" dxfId="9"/>
    </tableStyle>
    <tableStyle name="Trips-style" pivot="0" count="4" xr9:uid="{00000000-0011-0000-FFFF-FFFF01000000}">
      <tableStyleElement type="wholeTable" size="0" dxfId="4"/>
      <tableStyleElement type="headerRow" dxfId="7"/>
      <tableStyleElement type="firstRowStripe" dxfId="6"/>
      <tableStyleElement type="secondRowStripe" dxfId="5"/>
    </tableStyle>
    <tableStyle name="Expenses-style" pivot="0" count="4" xr9:uid="{00000000-0011-0000-FFFF-FFFF02000000}">
      <tableStyleElement type="wholeTable" size="0" dxfId="0"/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rips" displayName="Trips" ref="A2:E3">
  <tableColumns count="5">
    <tableColumn id="1" xr3:uid="{00000000-0010-0000-0000-000001000000}" name="ID"/>
    <tableColumn id="2" xr3:uid="{00000000-0010-0000-0000-000002000000}" name="Trip"/>
    <tableColumn id="3" xr3:uid="{00000000-0010-0000-0000-000003000000}" name="Destination"/>
    <tableColumn id="4" xr3:uid="{00000000-0010-0000-0000-000004000000}" name="Start Date"/>
    <tableColumn id="5" xr3:uid="{00000000-0010-0000-0000-000005000000}" name="End Date"/>
  </tableColumns>
  <tableStyleInfo name="Trips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ravelers" displayName="Travelers" ref="A2:B8">
  <tableColumns count="2">
    <tableColumn id="1" xr3:uid="{00000000-0010-0000-0100-000001000000}" name="ID"/>
    <tableColumn id="2" xr3:uid="{00000000-0010-0000-0100-000002000000}" name="Traveler"/>
  </tableColumns>
  <tableStyleInfo name="Travelers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Expenses" displayName="Expenses" ref="A2:M59">
  <tableColumns count="13">
    <tableColumn id="1" xr3:uid="{00000000-0010-0000-0200-000001000000}" name="Trip ID"/>
    <tableColumn id="2" xr3:uid="{00000000-0010-0000-0200-000002000000}" name="Trip"/>
    <tableColumn id="3" xr3:uid="{00000000-0010-0000-0200-000003000000}" name="Reason"/>
    <tableColumn id="4" xr3:uid="{00000000-0010-0000-0200-000004000000}" name="Date"/>
    <tableColumn id="5" xr3:uid="{00000000-0010-0000-0200-000005000000}" name="Type"/>
    <tableColumn id="6" xr3:uid="{00000000-0010-0000-0200-000006000000}" name="Product"/>
    <tableColumn id="7" xr3:uid="{00000000-0010-0000-0200-000007000000}" name="Debtor"/>
    <tableColumn id="8" xr3:uid="{00000000-0010-0000-0200-000008000000}" name="Lander"/>
    <tableColumn id="9" xr3:uid="{00000000-0010-0000-0200-000009000000}" name="Currency"/>
    <tableColumn id="10" xr3:uid="{00000000-0010-0000-0200-00000A000000}" name="Rate"/>
    <tableColumn id="11" xr3:uid="{00000000-0010-0000-0200-00000B000000}" name="Monto"/>
    <tableColumn id="12" xr3:uid="{00000000-0010-0000-0200-00000C000000}" name="Monto LPS"/>
    <tableColumn id="13" xr3:uid="{00000000-0010-0000-0200-00000D000000}" name="Monto USD"/>
  </tableColumns>
  <tableStyleInfo name="Expenses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D69F875-F881-412A-B2B6-AFDC791A22F9}" name="Payments" displayName="Payments" ref="A2:I5">
  <tableColumns count="9">
    <tableColumn id="1" xr3:uid="{FF8AF294-FD05-4FA4-9439-D57A89941448}" name="Trip ID"/>
    <tableColumn id="2" xr3:uid="{3B27387D-B51E-465F-9C88-BF7060CD3DC4}" name="Trip">
      <calculatedColumnFormula array="1">_xlfn.XLOOKUP(A3,Trips[ID],Trips[Trip],"",0)</calculatedColumnFormula>
    </tableColumn>
    <tableColumn id="7" xr3:uid="{B227261E-98BA-431A-BD80-FD6EB887BD02}" name="Debtor"/>
    <tableColumn id="8" xr3:uid="{74FC2A88-96D4-42B9-9265-16F36ECEF279}" name="Lander"/>
    <tableColumn id="9" xr3:uid="{AFE59D18-98B8-4E6B-A4B9-6D086C65D3F2}" name="Currency"/>
    <tableColumn id="10" xr3:uid="{83880901-9A1D-47A8-BF8D-F09ED349D6F8}" name="Rate"/>
    <tableColumn id="11" xr3:uid="{3B563FC3-F970-4CB6-A71F-4C12FE1050D9}" name="Monto"/>
    <tableColumn id="12" xr3:uid="{B0B4D565-56DA-4703-B6A0-3BDDD1DEE1A9}" name="Monto LPS">
      <calculatedColumnFormula>IF(E3="$", F3, 1) * G3</calculatedColumnFormula>
    </tableColumn>
    <tableColumn id="13" xr3:uid="{66212077-454E-4ADF-A67F-4DF61BBAE302}" name="Monto USD">
      <calculatedColumnFormula>G3 / IF(E3="$", 1, F3)</calculatedColumnFormula>
    </tableColumn>
  </tableColumns>
  <tableStyleInfo name="Expenses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2"/>
  <sheetViews>
    <sheetView showGridLines="0" workbookViewId="0"/>
  </sheetViews>
  <sheetFormatPr defaultColWidth="12.59765625" defaultRowHeight="15.75" customHeight="1" x14ac:dyDescent="0.35"/>
  <cols>
    <col min="3" max="3" width="14" customWidth="1"/>
    <col min="4" max="4" width="16.265625" customWidth="1"/>
    <col min="5" max="5" width="15.3984375" customWidth="1"/>
  </cols>
  <sheetData>
    <row r="1" spans="1:26" ht="16.899999999999999" x14ac:dyDescent="0.5">
      <c r="A1" s="1"/>
      <c r="B1" s="1"/>
      <c r="C1" s="1"/>
      <c r="D1" s="1"/>
      <c r="E1" s="1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22.5" customHeight="1" x14ac:dyDescent="0.35">
      <c r="A2" s="4" t="s">
        <v>0</v>
      </c>
      <c r="B2" s="4" t="s">
        <v>1</v>
      </c>
      <c r="C2" s="4" t="s">
        <v>4</v>
      </c>
      <c r="D2" s="4" t="s">
        <v>5</v>
      </c>
      <c r="E2" s="4" t="s">
        <v>7</v>
      </c>
    </row>
    <row r="3" spans="1:26" ht="22.5" customHeight="1" x14ac:dyDescent="0.35">
      <c r="A3" s="6" t="s">
        <v>8</v>
      </c>
      <c r="B3" s="6" t="s">
        <v>10</v>
      </c>
      <c r="C3" s="6" t="s">
        <v>12</v>
      </c>
      <c r="D3" s="8">
        <v>46269</v>
      </c>
      <c r="E3" s="8">
        <v>46271</v>
      </c>
    </row>
    <row r="12" spans="1:26" ht="17.25" x14ac:dyDescent="0.45">
      <c r="D12" s="11"/>
    </row>
  </sheetData>
  <dataValidations count="1">
    <dataValidation type="custom" allowBlank="1" showDropDown="1" sqref="D3:E3" xr:uid="{00000000-0002-0000-0000-000000000000}">
      <formula1>OR(NOT(ISERROR(DATEVALUE(D3))), AND(ISNUMBER(D3), LEFT(CELL("format", D3))="D"))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W8"/>
  <sheetViews>
    <sheetView showGridLines="0" workbookViewId="0"/>
  </sheetViews>
  <sheetFormatPr defaultColWidth="12.59765625" defaultRowHeight="15.75" customHeight="1" x14ac:dyDescent="0.35"/>
  <sheetData>
    <row r="1" spans="1:23" ht="16.899999999999999" x14ac:dyDescent="0.5">
      <c r="A1" s="1"/>
      <c r="B1" s="1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spans="1:23" ht="22.5" customHeight="1" x14ac:dyDescent="0.35">
      <c r="A2" s="4" t="s">
        <v>0</v>
      </c>
      <c r="B2" s="4" t="s">
        <v>3</v>
      </c>
    </row>
    <row r="3" spans="1:23" ht="22.5" customHeight="1" x14ac:dyDescent="0.35">
      <c r="A3" s="6" t="s">
        <v>6</v>
      </c>
      <c r="B3" s="6" t="s">
        <v>9</v>
      </c>
    </row>
    <row r="4" spans="1:23" ht="22.5" customHeight="1" x14ac:dyDescent="0.35">
      <c r="A4" s="6" t="s">
        <v>11</v>
      </c>
      <c r="B4" s="6" t="s">
        <v>13</v>
      </c>
    </row>
    <row r="5" spans="1:23" ht="22.5" customHeight="1" x14ac:dyDescent="0.35">
      <c r="A5" s="6" t="s">
        <v>14</v>
      </c>
      <c r="B5" s="6" t="s">
        <v>16</v>
      </c>
    </row>
    <row r="6" spans="1:23" ht="22.5" customHeight="1" x14ac:dyDescent="0.35">
      <c r="A6" s="6" t="s">
        <v>17</v>
      </c>
      <c r="B6" s="6" t="s">
        <v>18</v>
      </c>
    </row>
    <row r="7" spans="1:23" ht="22.5" customHeight="1" x14ac:dyDescent="0.35">
      <c r="A7" s="6" t="s">
        <v>20</v>
      </c>
      <c r="B7" s="6" t="s">
        <v>21</v>
      </c>
    </row>
    <row r="8" spans="1:23" ht="22.5" customHeight="1" x14ac:dyDescent="0.35">
      <c r="A8" s="6" t="s">
        <v>22</v>
      </c>
      <c r="B8" s="6" t="s">
        <v>24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Y1000"/>
  <sheetViews>
    <sheetView showGridLines="0" workbookViewId="0">
      <selection activeCell="E5" sqref="E5"/>
    </sheetView>
  </sheetViews>
  <sheetFormatPr defaultColWidth="12.59765625" defaultRowHeight="15.75" customHeight="1" x14ac:dyDescent="0.35"/>
  <cols>
    <col min="3" max="3" width="17.46484375" customWidth="1"/>
    <col min="4" max="4" width="14.46484375" customWidth="1"/>
    <col min="5" max="5" width="17.3984375" customWidth="1"/>
    <col min="6" max="6" width="27" customWidth="1"/>
    <col min="7" max="7" width="15.73046875" customWidth="1"/>
    <col min="8" max="8" width="14.3984375" customWidth="1"/>
    <col min="9" max="9" width="11.59765625" customWidth="1"/>
    <col min="12" max="12" width="13.73046875" customWidth="1"/>
    <col min="13" max="13" width="14.73046875" customWidth="1"/>
  </cols>
  <sheetData>
    <row r="1" spans="1:25" ht="16.899999999999999" x14ac:dyDescent="0.5">
      <c r="A1" s="1"/>
      <c r="B1" s="1"/>
      <c r="C1" s="1"/>
      <c r="D1" s="2"/>
      <c r="E1" s="2"/>
      <c r="F1" s="2"/>
      <c r="G1" s="2"/>
      <c r="H1" s="2"/>
      <c r="I1" s="3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spans="1:25" ht="22.5" customHeight="1" x14ac:dyDescent="0.35">
      <c r="A2" s="5" t="s">
        <v>2</v>
      </c>
      <c r="B2" s="7" t="s">
        <v>1</v>
      </c>
      <c r="C2" s="9" t="s">
        <v>15</v>
      </c>
      <c r="D2" s="10" t="s">
        <v>19</v>
      </c>
      <c r="E2" s="12" t="s">
        <v>23</v>
      </c>
      <c r="F2" s="9" t="s">
        <v>25</v>
      </c>
      <c r="G2" s="9" t="s">
        <v>26</v>
      </c>
      <c r="H2" s="9" t="s">
        <v>27</v>
      </c>
      <c r="I2" s="13" t="s">
        <v>28</v>
      </c>
      <c r="J2" s="12" t="s">
        <v>29</v>
      </c>
      <c r="K2" s="14" t="s">
        <v>30</v>
      </c>
      <c r="L2" s="12" t="s">
        <v>31</v>
      </c>
      <c r="M2" s="15" t="s">
        <v>32</v>
      </c>
    </row>
    <row r="3" spans="1:25" ht="22.5" customHeight="1" x14ac:dyDescent="0.35">
      <c r="A3" s="16" t="s">
        <v>8</v>
      </c>
      <c r="B3" s="16" t="str">
        <f t="array" ref="B3">_xlfn.XLOOKUP(A3,Trips[ID],Trips[Trip],"",0)</f>
        <v>SPS Sep 2026</v>
      </c>
      <c r="C3" s="16" t="s">
        <v>33</v>
      </c>
      <c r="D3" s="17">
        <v>46269</v>
      </c>
      <c r="E3" s="18" t="s">
        <v>34</v>
      </c>
      <c r="F3" s="16" t="s">
        <v>33</v>
      </c>
      <c r="G3" s="19" t="s">
        <v>9</v>
      </c>
      <c r="H3" s="20" t="s">
        <v>16</v>
      </c>
      <c r="I3" s="21" t="s">
        <v>35</v>
      </c>
      <c r="J3" s="22">
        <v>27</v>
      </c>
      <c r="K3" s="23">
        <v>260.19</v>
      </c>
      <c r="L3" s="22">
        <f t="shared" ref="L3:L59" si="0">IF(I3="$", J3, 1) * K3</f>
        <v>7025.13</v>
      </c>
      <c r="M3" s="24">
        <f t="shared" ref="M3:M59" si="1">K3 / IF(I3="$", 1, J3)</f>
        <v>260.19</v>
      </c>
    </row>
    <row r="4" spans="1:25" ht="22.5" customHeight="1" x14ac:dyDescent="0.35">
      <c r="A4" s="25" t="s">
        <v>8</v>
      </c>
      <c r="B4" s="25" t="str">
        <f t="array" ref="B4">_xlfn.XLOOKUP(A4,Trips[ID],Trips[Trip],"",0)</f>
        <v>SPS Sep 2026</v>
      </c>
      <c r="C4" s="25" t="s">
        <v>36</v>
      </c>
      <c r="D4" s="17">
        <v>46269</v>
      </c>
      <c r="E4" s="26" t="s">
        <v>37</v>
      </c>
      <c r="F4" s="25" t="s">
        <v>38</v>
      </c>
      <c r="G4" s="27" t="s">
        <v>13</v>
      </c>
      <c r="H4" s="20" t="s">
        <v>16</v>
      </c>
      <c r="I4" s="28" t="s">
        <v>39</v>
      </c>
      <c r="J4" s="22">
        <v>27</v>
      </c>
      <c r="K4" s="29">
        <v>239</v>
      </c>
      <c r="L4" s="30">
        <f t="shared" si="0"/>
        <v>239</v>
      </c>
      <c r="M4" s="31">
        <f t="shared" si="1"/>
        <v>8.8518518518518512</v>
      </c>
    </row>
    <row r="5" spans="1:25" ht="22.5" customHeight="1" x14ac:dyDescent="0.35">
      <c r="A5" s="16" t="s">
        <v>8</v>
      </c>
      <c r="B5" s="16" t="str">
        <f t="array" ref="B5">_xlfn.XLOOKUP(A5,Trips[ID],Trips[Trip],"",0)</f>
        <v>SPS Sep 2026</v>
      </c>
      <c r="C5" s="16" t="s">
        <v>36</v>
      </c>
      <c r="D5" s="17">
        <v>46269</v>
      </c>
      <c r="E5" s="32" t="s">
        <v>37</v>
      </c>
      <c r="F5" s="16" t="s">
        <v>40</v>
      </c>
      <c r="G5" s="33" t="s">
        <v>16</v>
      </c>
      <c r="H5" s="20" t="s">
        <v>16</v>
      </c>
      <c r="I5" s="21" t="s">
        <v>39</v>
      </c>
      <c r="J5" s="22">
        <v>27</v>
      </c>
      <c r="K5" s="23">
        <v>219</v>
      </c>
      <c r="L5" s="22">
        <f t="shared" si="0"/>
        <v>219</v>
      </c>
      <c r="M5" s="24">
        <f t="shared" si="1"/>
        <v>8.1111111111111107</v>
      </c>
    </row>
    <row r="6" spans="1:25" ht="22.5" customHeight="1" x14ac:dyDescent="0.35">
      <c r="A6" s="25" t="s">
        <v>8</v>
      </c>
      <c r="B6" s="25" t="str">
        <f t="array" ref="B6">_xlfn.XLOOKUP(A6,Trips[ID],Trips[Trip],"",0)</f>
        <v>SPS Sep 2026</v>
      </c>
      <c r="C6" s="25" t="s">
        <v>36</v>
      </c>
      <c r="D6" s="17">
        <v>46269</v>
      </c>
      <c r="E6" s="26" t="s">
        <v>37</v>
      </c>
      <c r="F6" s="25" t="s">
        <v>41</v>
      </c>
      <c r="G6" s="27" t="s">
        <v>13</v>
      </c>
      <c r="H6" s="20" t="s">
        <v>16</v>
      </c>
      <c r="I6" s="28" t="s">
        <v>39</v>
      </c>
      <c r="J6" s="22">
        <v>27</v>
      </c>
      <c r="K6" s="29">
        <v>26</v>
      </c>
      <c r="L6" s="30">
        <f t="shared" si="0"/>
        <v>26</v>
      </c>
      <c r="M6" s="31">
        <f t="shared" si="1"/>
        <v>0.96296296296296291</v>
      </c>
    </row>
    <row r="7" spans="1:25" ht="22.5" customHeight="1" x14ac:dyDescent="0.35">
      <c r="A7" s="16" t="s">
        <v>8</v>
      </c>
      <c r="B7" s="16" t="str">
        <f t="array" ref="B7">_xlfn.XLOOKUP(A7,Trips[ID],Trips[Trip],"",0)</f>
        <v>SPS Sep 2026</v>
      </c>
      <c r="C7" s="16" t="s">
        <v>36</v>
      </c>
      <c r="D7" s="17">
        <v>46269</v>
      </c>
      <c r="E7" s="32" t="s">
        <v>37</v>
      </c>
      <c r="F7" s="16" t="s">
        <v>42</v>
      </c>
      <c r="G7" s="32" t="s">
        <v>18</v>
      </c>
      <c r="H7" s="20" t="s">
        <v>16</v>
      </c>
      <c r="I7" s="21" t="s">
        <v>39</v>
      </c>
      <c r="J7" s="22">
        <v>27</v>
      </c>
      <c r="K7" s="23">
        <v>189</v>
      </c>
      <c r="L7" s="22">
        <f t="shared" si="0"/>
        <v>189</v>
      </c>
      <c r="M7" s="24">
        <f t="shared" si="1"/>
        <v>7</v>
      </c>
    </row>
    <row r="8" spans="1:25" ht="22.5" customHeight="1" x14ac:dyDescent="0.35">
      <c r="A8" s="25" t="s">
        <v>8</v>
      </c>
      <c r="B8" s="25" t="str">
        <f t="array" ref="B8">_xlfn.XLOOKUP(A8,Trips[ID],Trips[Trip],"",0)</f>
        <v>SPS Sep 2026</v>
      </c>
      <c r="C8" s="25" t="s">
        <v>36</v>
      </c>
      <c r="D8" s="17">
        <v>46269</v>
      </c>
      <c r="E8" s="26" t="s">
        <v>37</v>
      </c>
      <c r="F8" s="25" t="s">
        <v>43</v>
      </c>
      <c r="G8" s="34" t="s">
        <v>21</v>
      </c>
      <c r="H8" s="20" t="s">
        <v>16</v>
      </c>
      <c r="I8" s="28" t="s">
        <v>39</v>
      </c>
      <c r="J8" s="22">
        <v>27</v>
      </c>
      <c r="K8" s="29">
        <v>199</v>
      </c>
      <c r="L8" s="30">
        <f t="shared" si="0"/>
        <v>199</v>
      </c>
      <c r="M8" s="31">
        <f t="shared" si="1"/>
        <v>7.3703703703703702</v>
      </c>
    </row>
    <row r="9" spans="1:25" ht="22.5" customHeight="1" x14ac:dyDescent="0.35">
      <c r="A9" s="16" t="s">
        <v>8</v>
      </c>
      <c r="B9" s="16" t="str">
        <f t="array" ref="B9">_xlfn.XLOOKUP(A9,Trips[ID],Trips[Trip],"",0)</f>
        <v>SPS Sep 2026</v>
      </c>
      <c r="C9" s="16" t="s">
        <v>36</v>
      </c>
      <c r="D9" s="17">
        <v>46269</v>
      </c>
      <c r="E9" s="32" t="s">
        <v>37</v>
      </c>
      <c r="F9" s="16" t="s">
        <v>44</v>
      </c>
      <c r="G9" s="35" t="s">
        <v>21</v>
      </c>
      <c r="H9" s="20" t="s">
        <v>16</v>
      </c>
      <c r="I9" s="21" t="s">
        <v>39</v>
      </c>
      <c r="J9" s="22">
        <v>27</v>
      </c>
      <c r="K9" s="23">
        <v>149</v>
      </c>
      <c r="L9" s="22">
        <f t="shared" si="0"/>
        <v>149</v>
      </c>
      <c r="M9" s="24">
        <f t="shared" si="1"/>
        <v>5.5185185185185182</v>
      </c>
    </row>
    <row r="10" spans="1:25" ht="22.5" customHeight="1" x14ac:dyDescent="0.35">
      <c r="A10" s="25" t="s">
        <v>8</v>
      </c>
      <c r="B10" s="25" t="str">
        <f t="array" ref="B10">_xlfn.XLOOKUP(A10,Trips[ID],Trips[Trip],"",0)</f>
        <v>SPS Sep 2026</v>
      </c>
      <c r="C10" s="25" t="s">
        <v>45</v>
      </c>
      <c r="D10" s="17">
        <v>46269</v>
      </c>
      <c r="E10" s="26" t="s">
        <v>46</v>
      </c>
      <c r="F10" s="25" t="s">
        <v>47</v>
      </c>
      <c r="G10" s="36" t="s">
        <v>9</v>
      </c>
      <c r="H10" s="20" t="s">
        <v>21</v>
      </c>
      <c r="I10" s="28" t="s">
        <v>39</v>
      </c>
      <c r="J10" s="22">
        <v>27</v>
      </c>
      <c r="K10" s="29">
        <v>351.31</v>
      </c>
      <c r="L10" s="30">
        <f t="shared" si="0"/>
        <v>351.31</v>
      </c>
      <c r="M10" s="31">
        <f t="shared" si="1"/>
        <v>13.011481481481482</v>
      </c>
    </row>
    <row r="11" spans="1:25" ht="22.5" customHeight="1" x14ac:dyDescent="0.35">
      <c r="A11" s="16" t="s">
        <v>8</v>
      </c>
      <c r="B11" s="16" t="str">
        <f t="array" ref="B11">_xlfn.XLOOKUP(A11,Trips[ID],Trips[Trip],"",0)</f>
        <v>SPS Sep 2026</v>
      </c>
      <c r="C11" s="16" t="s">
        <v>48</v>
      </c>
      <c r="D11" s="17">
        <v>46270</v>
      </c>
      <c r="E11" s="32" t="s">
        <v>37</v>
      </c>
      <c r="F11" s="16" t="s">
        <v>49</v>
      </c>
      <c r="G11" s="33" t="s">
        <v>16</v>
      </c>
      <c r="H11" s="20" t="s">
        <v>16</v>
      </c>
      <c r="I11" s="21" t="s">
        <v>39</v>
      </c>
      <c r="J11" s="22">
        <v>27</v>
      </c>
      <c r="K11" s="23">
        <v>95</v>
      </c>
      <c r="L11" s="22">
        <f t="shared" si="0"/>
        <v>95</v>
      </c>
      <c r="M11" s="24">
        <f t="shared" si="1"/>
        <v>3.5185185185185186</v>
      </c>
    </row>
    <row r="12" spans="1:25" ht="22.5" customHeight="1" x14ac:dyDescent="0.35">
      <c r="A12" s="25" t="s">
        <v>8</v>
      </c>
      <c r="B12" s="25" t="str">
        <f t="array" ref="B12">_xlfn.XLOOKUP(A12,Trips[ID],Trips[Trip],"",0)</f>
        <v>SPS Sep 2026</v>
      </c>
      <c r="C12" s="25" t="s">
        <v>48</v>
      </c>
      <c r="D12" s="17">
        <v>46270</v>
      </c>
      <c r="E12" s="26" t="s">
        <v>37</v>
      </c>
      <c r="F12" s="25" t="s">
        <v>50</v>
      </c>
      <c r="G12" s="34" t="s">
        <v>21</v>
      </c>
      <c r="H12" s="20" t="s">
        <v>16</v>
      </c>
      <c r="I12" s="28" t="s">
        <v>39</v>
      </c>
      <c r="J12" s="22">
        <v>27</v>
      </c>
      <c r="K12" s="29">
        <v>77</v>
      </c>
      <c r="L12" s="30">
        <f t="shared" si="0"/>
        <v>77</v>
      </c>
      <c r="M12" s="31">
        <f t="shared" si="1"/>
        <v>2.8518518518518516</v>
      </c>
    </row>
    <row r="13" spans="1:25" ht="22.5" customHeight="1" x14ac:dyDescent="0.35">
      <c r="A13" s="16" t="s">
        <v>8</v>
      </c>
      <c r="B13" s="16" t="str">
        <f t="array" ref="B13">_xlfn.XLOOKUP(A13,Trips[ID],Trips[Trip],"",0)</f>
        <v>SPS Sep 2026</v>
      </c>
      <c r="C13" s="16" t="s">
        <v>48</v>
      </c>
      <c r="D13" s="17">
        <v>46270</v>
      </c>
      <c r="E13" s="32" t="s">
        <v>37</v>
      </c>
      <c r="F13" s="16" t="s">
        <v>51</v>
      </c>
      <c r="G13" s="37" t="s">
        <v>13</v>
      </c>
      <c r="H13" s="20" t="s">
        <v>16</v>
      </c>
      <c r="I13" s="21" t="s">
        <v>39</v>
      </c>
      <c r="J13" s="22">
        <v>27</v>
      </c>
      <c r="K13" s="23">
        <v>50</v>
      </c>
      <c r="L13" s="22">
        <f t="shared" si="0"/>
        <v>50</v>
      </c>
      <c r="M13" s="24">
        <f t="shared" si="1"/>
        <v>1.8518518518518519</v>
      </c>
    </row>
    <row r="14" spans="1:25" ht="22.5" customHeight="1" x14ac:dyDescent="0.35">
      <c r="A14" s="25" t="s">
        <v>8</v>
      </c>
      <c r="B14" s="25" t="str">
        <f t="array" ref="B14">_xlfn.XLOOKUP(A14,Trips[ID],Trips[Trip],"",0)</f>
        <v>SPS Sep 2026</v>
      </c>
      <c r="C14" s="25" t="s">
        <v>48</v>
      </c>
      <c r="D14" s="17">
        <v>46270</v>
      </c>
      <c r="E14" s="26" t="s">
        <v>37</v>
      </c>
      <c r="F14" s="25" t="s">
        <v>52</v>
      </c>
      <c r="G14" s="34" t="s">
        <v>21</v>
      </c>
      <c r="H14" s="20" t="s">
        <v>16</v>
      </c>
      <c r="I14" s="28" t="s">
        <v>39</v>
      </c>
      <c r="J14" s="22">
        <v>27</v>
      </c>
      <c r="K14" s="29">
        <v>71</v>
      </c>
      <c r="L14" s="30">
        <f t="shared" si="0"/>
        <v>71</v>
      </c>
      <c r="M14" s="31">
        <f t="shared" si="1"/>
        <v>2.6296296296296298</v>
      </c>
    </row>
    <row r="15" spans="1:25" ht="22.5" customHeight="1" x14ac:dyDescent="0.35">
      <c r="A15" s="16" t="s">
        <v>8</v>
      </c>
      <c r="B15" s="16" t="str">
        <f t="array" ref="B15">_xlfn.XLOOKUP(A15,Trips[ID],Trips[Trip],"",0)</f>
        <v>SPS Sep 2026</v>
      </c>
      <c r="C15" s="16" t="s">
        <v>48</v>
      </c>
      <c r="D15" s="17">
        <v>46270</v>
      </c>
      <c r="E15" s="32" t="s">
        <v>37</v>
      </c>
      <c r="F15" s="16" t="s">
        <v>53</v>
      </c>
      <c r="G15" s="32" t="s">
        <v>18</v>
      </c>
      <c r="H15" s="20" t="s">
        <v>16</v>
      </c>
      <c r="I15" s="21" t="s">
        <v>39</v>
      </c>
      <c r="J15" s="22">
        <v>27</v>
      </c>
      <c r="K15" s="23">
        <v>80</v>
      </c>
      <c r="L15" s="22">
        <f t="shared" si="0"/>
        <v>80</v>
      </c>
      <c r="M15" s="24">
        <f t="shared" si="1"/>
        <v>2.9629629629629628</v>
      </c>
    </row>
    <row r="16" spans="1:25" ht="22.5" customHeight="1" x14ac:dyDescent="0.35">
      <c r="A16" s="25" t="s">
        <v>8</v>
      </c>
      <c r="B16" s="25" t="str">
        <f t="array" ref="B16">_xlfn.XLOOKUP(A16,Trips[ID],Trips[Trip],"",0)</f>
        <v>SPS Sep 2026</v>
      </c>
      <c r="C16" s="25" t="s">
        <v>54</v>
      </c>
      <c r="D16" s="17">
        <v>46270</v>
      </c>
      <c r="E16" s="26" t="s">
        <v>37</v>
      </c>
      <c r="F16" s="38" t="s">
        <v>55</v>
      </c>
      <c r="G16" s="39" t="s">
        <v>16</v>
      </c>
      <c r="H16" s="20" t="s">
        <v>16</v>
      </c>
      <c r="I16" s="28" t="s">
        <v>39</v>
      </c>
      <c r="J16" s="22">
        <v>27</v>
      </c>
      <c r="K16" s="29">
        <v>350</v>
      </c>
      <c r="L16" s="30">
        <f t="shared" si="0"/>
        <v>350</v>
      </c>
      <c r="M16" s="31">
        <f t="shared" si="1"/>
        <v>12.962962962962964</v>
      </c>
    </row>
    <row r="17" spans="1:13" ht="22.5" customHeight="1" x14ac:dyDescent="0.35">
      <c r="A17" s="16" t="s">
        <v>8</v>
      </c>
      <c r="B17" s="16" t="str">
        <f t="array" ref="B17">_xlfn.XLOOKUP(A17,Trips[ID],Trips[Trip],"",0)</f>
        <v>SPS Sep 2026</v>
      </c>
      <c r="C17" s="16" t="s">
        <v>54</v>
      </c>
      <c r="D17" s="17">
        <v>46270</v>
      </c>
      <c r="E17" s="32" t="s">
        <v>37</v>
      </c>
      <c r="F17" s="16" t="s">
        <v>56</v>
      </c>
      <c r="G17" s="33" t="s">
        <v>16</v>
      </c>
      <c r="H17" s="20" t="s">
        <v>16</v>
      </c>
      <c r="I17" s="21" t="s">
        <v>39</v>
      </c>
      <c r="J17" s="22">
        <v>27</v>
      </c>
      <c r="K17" s="23">
        <v>35</v>
      </c>
      <c r="L17" s="22">
        <f t="shared" si="0"/>
        <v>35</v>
      </c>
      <c r="M17" s="24">
        <f t="shared" si="1"/>
        <v>1.2962962962962963</v>
      </c>
    </row>
    <row r="18" spans="1:13" ht="22.5" customHeight="1" x14ac:dyDescent="0.35">
      <c r="A18" s="25" t="s">
        <v>8</v>
      </c>
      <c r="B18" s="25" t="str">
        <f t="array" ref="B18">_xlfn.XLOOKUP(A18,Trips[ID],Trips[Trip],"",0)</f>
        <v>SPS Sep 2026</v>
      </c>
      <c r="C18" s="25" t="s">
        <v>54</v>
      </c>
      <c r="D18" s="17">
        <v>46270</v>
      </c>
      <c r="E18" s="26" t="s">
        <v>37</v>
      </c>
      <c r="F18" s="25" t="s">
        <v>56</v>
      </c>
      <c r="G18" s="34" t="s">
        <v>21</v>
      </c>
      <c r="H18" s="20" t="s">
        <v>16</v>
      </c>
      <c r="I18" s="28" t="s">
        <v>39</v>
      </c>
      <c r="J18" s="22">
        <v>27</v>
      </c>
      <c r="K18" s="29">
        <v>35</v>
      </c>
      <c r="L18" s="30">
        <f t="shared" si="0"/>
        <v>35</v>
      </c>
      <c r="M18" s="31">
        <f t="shared" si="1"/>
        <v>1.2962962962962963</v>
      </c>
    </row>
    <row r="19" spans="1:13" ht="22.5" customHeight="1" x14ac:dyDescent="0.35">
      <c r="A19" s="16" t="s">
        <v>8</v>
      </c>
      <c r="B19" s="16" t="str">
        <f t="array" ref="B19">_xlfn.XLOOKUP(A19,Trips[ID],Trips[Trip],"",0)</f>
        <v>SPS Sep 2026</v>
      </c>
      <c r="C19" s="16" t="s">
        <v>54</v>
      </c>
      <c r="D19" s="17">
        <v>46270</v>
      </c>
      <c r="E19" s="32" t="s">
        <v>37</v>
      </c>
      <c r="F19" s="16" t="s">
        <v>56</v>
      </c>
      <c r="G19" s="32" t="s">
        <v>18</v>
      </c>
      <c r="H19" s="20" t="s">
        <v>16</v>
      </c>
      <c r="I19" s="21" t="s">
        <v>39</v>
      </c>
      <c r="J19" s="22">
        <v>27</v>
      </c>
      <c r="K19" s="23">
        <v>35</v>
      </c>
      <c r="L19" s="22">
        <f t="shared" si="0"/>
        <v>35</v>
      </c>
      <c r="M19" s="24">
        <f t="shared" si="1"/>
        <v>1.2962962962962963</v>
      </c>
    </row>
    <row r="20" spans="1:13" ht="22.5" customHeight="1" x14ac:dyDescent="0.35">
      <c r="A20" s="25" t="s">
        <v>8</v>
      </c>
      <c r="B20" s="25" t="str">
        <f t="array" ref="B20">_xlfn.XLOOKUP(A20,Trips[ID],Trips[Trip],"",0)</f>
        <v>SPS Sep 2026</v>
      </c>
      <c r="C20" s="25" t="s">
        <v>54</v>
      </c>
      <c r="D20" s="17">
        <v>46270</v>
      </c>
      <c r="E20" s="26" t="s">
        <v>37</v>
      </c>
      <c r="F20" s="25" t="s">
        <v>57</v>
      </c>
      <c r="G20" s="26" t="s">
        <v>18</v>
      </c>
      <c r="H20" s="20" t="s">
        <v>16</v>
      </c>
      <c r="I20" s="28" t="s">
        <v>39</v>
      </c>
      <c r="J20" s="22">
        <v>27</v>
      </c>
      <c r="K20" s="29">
        <v>250</v>
      </c>
      <c r="L20" s="30">
        <f t="shared" si="0"/>
        <v>250</v>
      </c>
      <c r="M20" s="31">
        <f t="shared" si="1"/>
        <v>9.2592592592592595</v>
      </c>
    </row>
    <row r="21" spans="1:13" ht="22.5" customHeight="1" x14ac:dyDescent="0.35">
      <c r="A21" s="16" t="s">
        <v>8</v>
      </c>
      <c r="B21" s="16" t="str">
        <f t="array" ref="B21">_xlfn.XLOOKUP(A21,Trips[ID],Trips[Trip],"",0)</f>
        <v>SPS Sep 2026</v>
      </c>
      <c r="C21" s="16" t="s">
        <v>54</v>
      </c>
      <c r="D21" s="17">
        <v>46270</v>
      </c>
      <c r="E21" s="32" t="s">
        <v>37</v>
      </c>
      <c r="F21" s="16" t="s">
        <v>58</v>
      </c>
      <c r="G21" s="35" t="s">
        <v>21</v>
      </c>
      <c r="H21" s="20" t="s">
        <v>16</v>
      </c>
      <c r="I21" s="21" t="s">
        <v>39</v>
      </c>
      <c r="J21" s="22">
        <v>27</v>
      </c>
      <c r="K21" s="23">
        <v>230</v>
      </c>
      <c r="L21" s="22">
        <f t="shared" si="0"/>
        <v>230</v>
      </c>
      <c r="M21" s="24">
        <f t="shared" si="1"/>
        <v>8.518518518518519</v>
      </c>
    </row>
    <row r="22" spans="1:13" ht="22.5" customHeight="1" x14ac:dyDescent="0.35">
      <c r="A22" s="25" t="s">
        <v>8</v>
      </c>
      <c r="B22" s="25" t="str">
        <f t="array" ref="B22">_xlfn.XLOOKUP(A22,Trips[ID],Trips[Trip],"",0)</f>
        <v>SPS Sep 2026</v>
      </c>
      <c r="C22" s="25" t="s">
        <v>54</v>
      </c>
      <c r="D22" s="17">
        <v>46270</v>
      </c>
      <c r="E22" s="26" t="s">
        <v>37</v>
      </c>
      <c r="F22" s="25" t="s">
        <v>59</v>
      </c>
      <c r="G22" s="27" t="s">
        <v>13</v>
      </c>
      <c r="H22" s="20" t="s">
        <v>16</v>
      </c>
      <c r="I22" s="28" t="s">
        <v>39</v>
      </c>
      <c r="J22" s="22">
        <v>27</v>
      </c>
      <c r="K22" s="29">
        <v>35</v>
      </c>
      <c r="L22" s="30">
        <f t="shared" si="0"/>
        <v>35</v>
      </c>
      <c r="M22" s="31">
        <f t="shared" si="1"/>
        <v>1.2962962962962963</v>
      </c>
    </row>
    <row r="23" spans="1:13" ht="22.5" customHeight="1" x14ac:dyDescent="0.35">
      <c r="A23" s="16" t="s">
        <v>8</v>
      </c>
      <c r="B23" s="16" t="str">
        <f t="array" ref="B23">_xlfn.XLOOKUP(A23,Trips[ID],Trips[Trip],"",0)</f>
        <v>SPS Sep 2026</v>
      </c>
      <c r="C23" s="16" t="s">
        <v>54</v>
      </c>
      <c r="D23" s="17">
        <v>46270</v>
      </c>
      <c r="E23" s="32" t="s">
        <v>37</v>
      </c>
      <c r="F23" s="16" t="s">
        <v>60</v>
      </c>
      <c r="G23" s="37" t="s">
        <v>13</v>
      </c>
      <c r="H23" s="20" t="s">
        <v>16</v>
      </c>
      <c r="I23" s="21" t="s">
        <v>39</v>
      </c>
      <c r="J23" s="22">
        <v>27</v>
      </c>
      <c r="K23" s="23">
        <v>330</v>
      </c>
      <c r="L23" s="22">
        <f t="shared" si="0"/>
        <v>330</v>
      </c>
      <c r="M23" s="24">
        <f t="shared" si="1"/>
        <v>12.222222222222221</v>
      </c>
    </row>
    <row r="24" spans="1:13" ht="22.5" customHeight="1" x14ac:dyDescent="0.35">
      <c r="A24" s="25" t="s">
        <v>8</v>
      </c>
      <c r="B24" s="25" t="str">
        <f t="array" ref="B24">_xlfn.XLOOKUP(A24,Trips[ID],Trips[Trip],"",0)</f>
        <v>SPS Sep 2026</v>
      </c>
      <c r="C24" s="25" t="s">
        <v>54</v>
      </c>
      <c r="D24" s="17">
        <v>46270</v>
      </c>
      <c r="E24" s="26" t="s">
        <v>37</v>
      </c>
      <c r="F24" s="25" t="s">
        <v>61</v>
      </c>
      <c r="G24" s="27" t="s">
        <v>13</v>
      </c>
      <c r="H24" s="20" t="s">
        <v>16</v>
      </c>
      <c r="I24" s="28" t="s">
        <v>39</v>
      </c>
      <c r="J24" s="22">
        <v>27</v>
      </c>
      <c r="K24" s="29">
        <v>160</v>
      </c>
      <c r="L24" s="30">
        <f t="shared" si="0"/>
        <v>160</v>
      </c>
      <c r="M24" s="31">
        <f t="shared" si="1"/>
        <v>5.9259259259259256</v>
      </c>
    </row>
    <row r="25" spans="1:13" ht="22.5" customHeight="1" x14ac:dyDescent="0.35">
      <c r="A25" s="16" t="s">
        <v>8</v>
      </c>
      <c r="B25" s="16" t="str">
        <f t="array" ref="B25">_xlfn.XLOOKUP(A25,Trips[ID],Trips[Trip],"",0)</f>
        <v>SPS Sep 2026</v>
      </c>
      <c r="C25" s="16" t="s">
        <v>54</v>
      </c>
      <c r="D25" s="17">
        <v>46270</v>
      </c>
      <c r="E25" s="32" t="s">
        <v>37</v>
      </c>
      <c r="F25" s="16" t="s">
        <v>62</v>
      </c>
      <c r="G25" s="35" t="s">
        <v>21</v>
      </c>
      <c r="H25" s="20" t="s">
        <v>16</v>
      </c>
      <c r="I25" s="21" t="s">
        <v>39</v>
      </c>
      <c r="J25" s="22">
        <v>27</v>
      </c>
      <c r="K25" s="23">
        <v>35</v>
      </c>
      <c r="L25" s="22">
        <f t="shared" si="0"/>
        <v>35</v>
      </c>
      <c r="M25" s="24">
        <f t="shared" si="1"/>
        <v>1.2962962962962963</v>
      </c>
    </row>
    <row r="26" spans="1:13" ht="22.5" customHeight="1" x14ac:dyDescent="0.35">
      <c r="A26" s="25" t="s">
        <v>8</v>
      </c>
      <c r="B26" s="25" t="str">
        <f t="array" ref="B26">_xlfn.XLOOKUP(A26,Trips[ID],Trips[Trip],"",0)</f>
        <v>SPS Sep 2026</v>
      </c>
      <c r="C26" s="25" t="s">
        <v>54</v>
      </c>
      <c r="D26" s="17">
        <v>46270</v>
      </c>
      <c r="E26" s="26" t="s">
        <v>37</v>
      </c>
      <c r="F26" s="25" t="s">
        <v>63</v>
      </c>
      <c r="G26" s="36" t="s">
        <v>9</v>
      </c>
      <c r="H26" s="20" t="s">
        <v>16</v>
      </c>
      <c r="I26" s="28" t="s">
        <v>39</v>
      </c>
      <c r="J26" s="22">
        <v>27</v>
      </c>
      <c r="K26" s="29">
        <v>50</v>
      </c>
      <c r="L26" s="30">
        <f t="shared" si="0"/>
        <v>50</v>
      </c>
      <c r="M26" s="31">
        <f t="shared" si="1"/>
        <v>1.8518518518518519</v>
      </c>
    </row>
    <row r="27" spans="1:13" ht="22.5" customHeight="1" x14ac:dyDescent="0.35">
      <c r="A27" s="16" t="s">
        <v>8</v>
      </c>
      <c r="B27" s="16" t="str">
        <f t="array" ref="B27">_xlfn.XLOOKUP(A27,Trips[ID],Trips[Trip],"",0)</f>
        <v>SPS Sep 2026</v>
      </c>
      <c r="C27" s="16" t="s">
        <v>64</v>
      </c>
      <c r="D27" s="17">
        <v>46270</v>
      </c>
      <c r="E27" s="40" t="s">
        <v>65</v>
      </c>
      <c r="F27" s="16" t="s">
        <v>66</v>
      </c>
      <c r="G27" s="19" t="s">
        <v>9</v>
      </c>
      <c r="H27" s="20" t="s">
        <v>13</v>
      </c>
      <c r="I27" s="21" t="s">
        <v>39</v>
      </c>
      <c r="J27" s="22">
        <v>27</v>
      </c>
      <c r="K27" s="23">
        <v>400</v>
      </c>
      <c r="L27" s="22">
        <f t="shared" si="0"/>
        <v>400</v>
      </c>
      <c r="M27" s="24">
        <f t="shared" si="1"/>
        <v>14.814814814814815</v>
      </c>
    </row>
    <row r="28" spans="1:13" ht="22.5" customHeight="1" x14ac:dyDescent="0.35">
      <c r="A28" s="25" t="s">
        <v>8</v>
      </c>
      <c r="B28" s="25" t="str">
        <f t="array" ref="B28">_xlfn.XLOOKUP(A28,Trips[ID],Trips[Trip],"",0)</f>
        <v>SPS Sep 2026</v>
      </c>
      <c r="C28" s="25" t="s">
        <v>67</v>
      </c>
      <c r="D28" s="17">
        <v>46270</v>
      </c>
      <c r="E28" s="41" t="s">
        <v>65</v>
      </c>
      <c r="F28" s="25" t="s">
        <v>68</v>
      </c>
      <c r="G28" s="36" t="s">
        <v>9</v>
      </c>
      <c r="H28" s="20" t="s">
        <v>16</v>
      </c>
      <c r="I28" s="28" t="s">
        <v>39</v>
      </c>
      <c r="J28" s="22">
        <v>27</v>
      </c>
      <c r="K28" s="29">
        <v>600</v>
      </c>
      <c r="L28" s="30">
        <f t="shared" si="0"/>
        <v>600</v>
      </c>
      <c r="M28" s="31">
        <f t="shared" si="1"/>
        <v>22.222222222222221</v>
      </c>
    </row>
    <row r="29" spans="1:13" ht="22.5" customHeight="1" x14ac:dyDescent="0.35">
      <c r="A29" s="16" t="s">
        <v>8</v>
      </c>
      <c r="B29" s="16" t="str">
        <f t="array" ref="B29">_xlfn.XLOOKUP(A29,Trips[ID],Trips[Trip],"",0)</f>
        <v>SPS Sep 2026</v>
      </c>
      <c r="C29" s="16" t="s">
        <v>69</v>
      </c>
      <c r="D29" s="17">
        <v>46270</v>
      </c>
      <c r="E29" s="32" t="s">
        <v>37</v>
      </c>
      <c r="F29" s="16" t="s">
        <v>70</v>
      </c>
      <c r="G29" s="19" t="s">
        <v>9</v>
      </c>
      <c r="H29" s="20" t="s">
        <v>16</v>
      </c>
      <c r="I29" s="21" t="s">
        <v>39</v>
      </c>
      <c r="J29" s="22">
        <v>27</v>
      </c>
      <c r="K29" s="23">
        <v>250</v>
      </c>
      <c r="L29" s="22">
        <f t="shared" si="0"/>
        <v>250</v>
      </c>
      <c r="M29" s="24">
        <f t="shared" si="1"/>
        <v>9.2592592592592595</v>
      </c>
    </row>
    <row r="30" spans="1:13" ht="22.5" customHeight="1" x14ac:dyDescent="0.35">
      <c r="A30" s="25" t="s">
        <v>8</v>
      </c>
      <c r="B30" s="25" t="str">
        <f t="array" ref="B30">_xlfn.XLOOKUP(A30,Trips[ID],Trips[Trip],"",0)</f>
        <v>SPS Sep 2026</v>
      </c>
      <c r="C30" s="25" t="s">
        <v>69</v>
      </c>
      <c r="D30" s="17">
        <v>46270</v>
      </c>
      <c r="E30" s="26" t="s">
        <v>37</v>
      </c>
      <c r="F30" s="25" t="s">
        <v>71</v>
      </c>
      <c r="G30" s="27" t="s">
        <v>13</v>
      </c>
      <c r="H30" s="20" t="s">
        <v>16</v>
      </c>
      <c r="I30" s="28" t="s">
        <v>39</v>
      </c>
      <c r="J30" s="22">
        <v>27</v>
      </c>
      <c r="K30" s="29">
        <v>210</v>
      </c>
      <c r="L30" s="30">
        <f t="shared" si="0"/>
        <v>210</v>
      </c>
      <c r="M30" s="31">
        <f t="shared" si="1"/>
        <v>7.7777777777777777</v>
      </c>
    </row>
    <row r="31" spans="1:13" ht="22.5" customHeight="1" x14ac:dyDescent="0.35">
      <c r="A31" s="16" t="s">
        <v>8</v>
      </c>
      <c r="B31" s="16" t="str">
        <f t="array" ref="B31">_xlfn.XLOOKUP(A31,Trips[ID],Trips[Trip],"",0)</f>
        <v>SPS Sep 2026</v>
      </c>
      <c r="C31" s="16" t="s">
        <v>69</v>
      </c>
      <c r="D31" s="17">
        <v>46270</v>
      </c>
      <c r="E31" s="32" t="s">
        <v>37</v>
      </c>
      <c r="F31" s="16" t="s">
        <v>72</v>
      </c>
      <c r="G31" s="35" t="s">
        <v>21</v>
      </c>
      <c r="H31" s="20" t="s">
        <v>16</v>
      </c>
      <c r="I31" s="21" t="s">
        <v>39</v>
      </c>
      <c r="J31" s="22">
        <v>27</v>
      </c>
      <c r="K31" s="23">
        <v>210</v>
      </c>
      <c r="L31" s="22">
        <f t="shared" si="0"/>
        <v>210</v>
      </c>
      <c r="M31" s="24">
        <f t="shared" si="1"/>
        <v>7.7777777777777777</v>
      </c>
    </row>
    <row r="32" spans="1:13" ht="22.5" customHeight="1" x14ac:dyDescent="0.35">
      <c r="A32" s="25" t="s">
        <v>8</v>
      </c>
      <c r="B32" s="25" t="str">
        <f t="array" ref="B32">_xlfn.XLOOKUP(A32,Trips[ID],Trips[Trip],"",0)</f>
        <v>SPS Sep 2026</v>
      </c>
      <c r="C32" s="25" t="s">
        <v>69</v>
      </c>
      <c r="D32" s="17">
        <v>46270</v>
      </c>
      <c r="E32" s="26" t="s">
        <v>37</v>
      </c>
      <c r="F32" s="25" t="s">
        <v>73</v>
      </c>
      <c r="G32" s="34" t="s">
        <v>21</v>
      </c>
      <c r="H32" s="20" t="s">
        <v>16</v>
      </c>
      <c r="I32" s="28" t="s">
        <v>39</v>
      </c>
      <c r="J32" s="22">
        <v>27</v>
      </c>
      <c r="K32" s="29">
        <v>75</v>
      </c>
      <c r="L32" s="30">
        <f t="shared" si="0"/>
        <v>75</v>
      </c>
      <c r="M32" s="31">
        <f t="shared" si="1"/>
        <v>2.7777777777777777</v>
      </c>
    </row>
    <row r="33" spans="1:13" ht="22.5" customHeight="1" x14ac:dyDescent="0.35">
      <c r="A33" s="16" t="s">
        <v>8</v>
      </c>
      <c r="B33" s="16" t="str">
        <f t="array" ref="B33">_xlfn.XLOOKUP(A33,Trips[ID],Trips[Trip],"",0)</f>
        <v>SPS Sep 2026</v>
      </c>
      <c r="C33" s="16" t="s">
        <v>69</v>
      </c>
      <c r="D33" s="17">
        <v>46270</v>
      </c>
      <c r="E33" s="32" t="s">
        <v>37</v>
      </c>
      <c r="F33" s="16" t="s">
        <v>74</v>
      </c>
      <c r="G33" s="33" t="s">
        <v>16</v>
      </c>
      <c r="H33" s="20" t="s">
        <v>16</v>
      </c>
      <c r="I33" s="21" t="s">
        <v>39</v>
      </c>
      <c r="J33" s="22">
        <v>27</v>
      </c>
      <c r="K33" s="23">
        <v>75</v>
      </c>
      <c r="L33" s="22">
        <f t="shared" si="0"/>
        <v>75</v>
      </c>
      <c r="M33" s="24">
        <f t="shared" si="1"/>
        <v>2.7777777777777777</v>
      </c>
    </row>
    <row r="34" spans="1:13" ht="22.5" customHeight="1" x14ac:dyDescent="0.35">
      <c r="A34" s="25" t="s">
        <v>8</v>
      </c>
      <c r="B34" s="25" t="str">
        <f t="array" ref="B34">_xlfn.XLOOKUP(A34,Trips[ID],Trips[Trip],"",0)</f>
        <v>SPS Sep 2026</v>
      </c>
      <c r="C34" s="25" t="s">
        <v>69</v>
      </c>
      <c r="D34" s="17">
        <v>46270</v>
      </c>
      <c r="E34" s="26" t="s">
        <v>37</v>
      </c>
      <c r="F34" s="25" t="s">
        <v>75</v>
      </c>
      <c r="G34" s="26" t="s">
        <v>18</v>
      </c>
      <c r="H34" s="20" t="s">
        <v>16</v>
      </c>
      <c r="I34" s="28" t="s">
        <v>39</v>
      </c>
      <c r="J34" s="22">
        <v>27</v>
      </c>
      <c r="K34" s="29">
        <v>360</v>
      </c>
      <c r="L34" s="30">
        <f t="shared" si="0"/>
        <v>360</v>
      </c>
      <c r="M34" s="31">
        <f t="shared" si="1"/>
        <v>13.333333333333334</v>
      </c>
    </row>
    <row r="35" spans="1:13" ht="22.5" customHeight="1" x14ac:dyDescent="0.35">
      <c r="A35" s="16" t="s">
        <v>8</v>
      </c>
      <c r="B35" s="16" t="str">
        <f t="array" ref="B35">_xlfn.XLOOKUP(A35,Trips[ID],Trips[Trip],"",0)</f>
        <v>SPS Sep 2026</v>
      </c>
      <c r="C35" s="16" t="s">
        <v>69</v>
      </c>
      <c r="D35" s="17">
        <v>46270</v>
      </c>
      <c r="E35" s="32" t="s">
        <v>37</v>
      </c>
      <c r="F35" s="16" t="s">
        <v>76</v>
      </c>
      <c r="G35" s="33" t="s">
        <v>16</v>
      </c>
      <c r="H35" s="20" t="s">
        <v>16</v>
      </c>
      <c r="I35" s="21" t="s">
        <v>39</v>
      </c>
      <c r="J35" s="22">
        <v>27</v>
      </c>
      <c r="K35" s="23">
        <v>180</v>
      </c>
      <c r="L35" s="22">
        <f t="shared" si="0"/>
        <v>180</v>
      </c>
      <c r="M35" s="24">
        <f t="shared" si="1"/>
        <v>6.666666666666667</v>
      </c>
    </row>
    <row r="36" spans="1:13" ht="22.5" customHeight="1" x14ac:dyDescent="0.35">
      <c r="A36" s="25" t="s">
        <v>8</v>
      </c>
      <c r="B36" s="25" t="str">
        <f t="array" ref="B36">_xlfn.XLOOKUP(A36,Trips[ID],Trips[Trip],"",0)</f>
        <v>SPS Sep 2026</v>
      </c>
      <c r="C36" s="25" t="s">
        <v>69</v>
      </c>
      <c r="D36" s="17">
        <v>46270</v>
      </c>
      <c r="E36" s="26" t="s">
        <v>37</v>
      </c>
      <c r="F36" s="25" t="s">
        <v>77</v>
      </c>
      <c r="G36" s="34" t="s">
        <v>21</v>
      </c>
      <c r="H36" s="20" t="s">
        <v>16</v>
      </c>
      <c r="I36" s="28" t="s">
        <v>39</v>
      </c>
      <c r="J36" s="22">
        <v>27</v>
      </c>
      <c r="K36" s="29">
        <v>180</v>
      </c>
      <c r="L36" s="30">
        <f t="shared" si="0"/>
        <v>180</v>
      </c>
      <c r="M36" s="31">
        <f t="shared" si="1"/>
        <v>6.666666666666667</v>
      </c>
    </row>
    <row r="37" spans="1:13" ht="22.5" customHeight="1" x14ac:dyDescent="0.35">
      <c r="A37" s="16" t="s">
        <v>8</v>
      </c>
      <c r="B37" s="16" t="str">
        <f t="array" ref="B37">_xlfn.XLOOKUP(A37,Trips[ID],Trips[Trip],"",0)</f>
        <v>SPS Sep 2026</v>
      </c>
      <c r="C37" s="16" t="s">
        <v>69</v>
      </c>
      <c r="D37" s="17">
        <v>46270</v>
      </c>
      <c r="E37" s="32" t="s">
        <v>37</v>
      </c>
      <c r="F37" s="16" t="s">
        <v>78</v>
      </c>
      <c r="G37" s="33" t="s">
        <v>16</v>
      </c>
      <c r="H37" s="20" t="s">
        <v>16</v>
      </c>
      <c r="I37" s="21" t="s">
        <v>39</v>
      </c>
      <c r="J37" s="22">
        <v>27</v>
      </c>
      <c r="K37" s="23">
        <v>180</v>
      </c>
      <c r="L37" s="22">
        <f t="shared" si="0"/>
        <v>180</v>
      </c>
      <c r="M37" s="24">
        <f t="shared" si="1"/>
        <v>6.666666666666667</v>
      </c>
    </row>
    <row r="38" spans="1:13" ht="22.5" customHeight="1" x14ac:dyDescent="0.35">
      <c r="A38" s="25" t="s">
        <v>8</v>
      </c>
      <c r="B38" s="25" t="str">
        <f t="array" ref="B38">_xlfn.XLOOKUP(A38,Trips[ID],Trips[Trip],"",0)</f>
        <v>SPS Sep 2026</v>
      </c>
      <c r="C38" s="25" t="s">
        <v>69</v>
      </c>
      <c r="D38" s="17">
        <v>46270</v>
      </c>
      <c r="E38" s="26" t="s">
        <v>37</v>
      </c>
      <c r="F38" s="25" t="s">
        <v>79</v>
      </c>
      <c r="G38" s="36" t="s">
        <v>9</v>
      </c>
      <c r="H38" s="20" t="s">
        <v>16</v>
      </c>
      <c r="I38" s="28" t="s">
        <v>39</v>
      </c>
      <c r="J38" s="22">
        <v>27</v>
      </c>
      <c r="K38" s="29">
        <v>170.04</v>
      </c>
      <c r="L38" s="30">
        <f t="shared" si="0"/>
        <v>170.04</v>
      </c>
      <c r="M38" s="31">
        <f t="shared" si="1"/>
        <v>6.2977777777777773</v>
      </c>
    </row>
    <row r="39" spans="1:13" ht="22.5" customHeight="1" x14ac:dyDescent="0.35">
      <c r="A39" s="16" t="s">
        <v>8</v>
      </c>
      <c r="B39" s="16" t="str">
        <f t="array" ref="B39">_xlfn.XLOOKUP(A39,Trips[ID],Trips[Trip],"",0)</f>
        <v>SPS Sep 2026</v>
      </c>
      <c r="C39" s="16" t="s">
        <v>80</v>
      </c>
      <c r="D39" s="17">
        <v>46270</v>
      </c>
      <c r="E39" s="42" t="s">
        <v>81</v>
      </c>
      <c r="F39" s="16" t="s">
        <v>82</v>
      </c>
      <c r="G39" s="19" t="s">
        <v>9</v>
      </c>
      <c r="H39" s="20" t="s">
        <v>18</v>
      </c>
      <c r="I39" s="21" t="s">
        <v>39</v>
      </c>
      <c r="J39" s="22">
        <v>27</v>
      </c>
      <c r="K39" s="23">
        <v>135.97999999999999</v>
      </c>
      <c r="L39" s="22">
        <f t="shared" si="0"/>
        <v>135.97999999999999</v>
      </c>
      <c r="M39" s="24">
        <f t="shared" si="1"/>
        <v>5.036296296296296</v>
      </c>
    </row>
    <row r="40" spans="1:13" ht="22.5" customHeight="1" x14ac:dyDescent="0.35">
      <c r="A40" s="25" t="s">
        <v>8</v>
      </c>
      <c r="B40" s="25" t="str">
        <f t="array" ref="B40">_xlfn.XLOOKUP(A40,Trips[ID],Trips[Trip],"",0)</f>
        <v>SPS Sep 2026</v>
      </c>
      <c r="C40" s="25" t="s">
        <v>80</v>
      </c>
      <c r="D40" s="17">
        <v>46270</v>
      </c>
      <c r="E40" s="43" t="s">
        <v>81</v>
      </c>
      <c r="F40" s="25" t="s">
        <v>82</v>
      </c>
      <c r="G40" s="36" t="s">
        <v>9</v>
      </c>
      <c r="H40" s="20" t="s">
        <v>16</v>
      </c>
      <c r="I40" s="28" t="s">
        <v>39</v>
      </c>
      <c r="J40" s="22">
        <v>27</v>
      </c>
      <c r="K40" s="29">
        <v>92</v>
      </c>
      <c r="L40" s="30">
        <f t="shared" si="0"/>
        <v>92</v>
      </c>
      <c r="M40" s="31">
        <f t="shared" si="1"/>
        <v>3.4074074074074074</v>
      </c>
    </row>
    <row r="41" spans="1:13" ht="22.5" customHeight="1" x14ac:dyDescent="0.35">
      <c r="A41" s="16" t="s">
        <v>8</v>
      </c>
      <c r="B41" s="16" t="str">
        <f t="array" ref="B41">_xlfn.XLOOKUP(A41,Trips[ID],Trips[Trip],"",0)</f>
        <v>SPS Sep 2026</v>
      </c>
      <c r="C41" s="16" t="s">
        <v>80</v>
      </c>
      <c r="D41" s="17">
        <v>46270</v>
      </c>
      <c r="E41" s="42" t="s">
        <v>81</v>
      </c>
      <c r="F41" s="16" t="s">
        <v>82</v>
      </c>
      <c r="G41" s="19" t="s">
        <v>9</v>
      </c>
      <c r="H41" s="20" t="s">
        <v>18</v>
      </c>
      <c r="I41" s="21" t="s">
        <v>39</v>
      </c>
      <c r="J41" s="22">
        <v>27</v>
      </c>
      <c r="K41" s="23">
        <f>111.12-20</f>
        <v>91.12</v>
      </c>
      <c r="L41" s="22">
        <f t="shared" si="0"/>
        <v>91.12</v>
      </c>
      <c r="M41" s="24">
        <f t="shared" si="1"/>
        <v>3.3748148148148149</v>
      </c>
    </row>
    <row r="42" spans="1:13" ht="22.5" customHeight="1" x14ac:dyDescent="0.35">
      <c r="A42" s="25" t="s">
        <v>8</v>
      </c>
      <c r="B42" s="25" t="str">
        <f t="array" ref="B42">_xlfn.XLOOKUP(A42,Trips[ID],Trips[Trip],"",0)</f>
        <v>SPS Sep 2026</v>
      </c>
      <c r="C42" s="25" t="s">
        <v>83</v>
      </c>
      <c r="D42" s="17">
        <v>46271</v>
      </c>
      <c r="E42" s="26" t="s">
        <v>37</v>
      </c>
      <c r="F42" s="25" t="s">
        <v>84</v>
      </c>
      <c r="G42" s="39" t="s">
        <v>16</v>
      </c>
      <c r="H42" s="20" t="s">
        <v>16</v>
      </c>
      <c r="I42" s="28" t="s">
        <v>39</v>
      </c>
      <c r="J42" s="22">
        <v>27</v>
      </c>
      <c r="K42" s="29">
        <v>275</v>
      </c>
      <c r="L42" s="30">
        <f t="shared" si="0"/>
        <v>275</v>
      </c>
      <c r="M42" s="31">
        <f t="shared" si="1"/>
        <v>10.185185185185185</v>
      </c>
    </row>
    <row r="43" spans="1:13" ht="22.5" customHeight="1" x14ac:dyDescent="0.35">
      <c r="A43" s="16" t="s">
        <v>8</v>
      </c>
      <c r="B43" s="16" t="str">
        <f t="array" ref="B43">_xlfn.XLOOKUP(A43,Trips[ID],Trips[Trip],"",0)</f>
        <v>SPS Sep 2026</v>
      </c>
      <c r="C43" s="16" t="s">
        <v>83</v>
      </c>
      <c r="D43" s="17">
        <v>46271</v>
      </c>
      <c r="E43" s="32" t="s">
        <v>37</v>
      </c>
      <c r="F43" s="16" t="s">
        <v>85</v>
      </c>
      <c r="G43" s="32" t="s">
        <v>18</v>
      </c>
      <c r="H43" s="20" t="s">
        <v>16</v>
      </c>
      <c r="I43" s="21" t="s">
        <v>39</v>
      </c>
      <c r="J43" s="22">
        <v>27</v>
      </c>
      <c r="K43" s="23">
        <v>75</v>
      </c>
      <c r="L43" s="22">
        <f t="shared" si="0"/>
        <v>75</v>
      </c>
      <c r="M43" s="24">
        <f t="shared" si="1"/>
        <v>2.7777777777777777</v>
      </c>
    </row>
    <row r="44" spans="1:13" ht="22.5" customHeight="1" x14ac:dyDescent="0.35">
      <c r="A44" s="25" t="s">
        <v>8</v>
      </c>
      <c r="B44" s="25" t="str">
        <f t="array" ref="B44">_xlfn.XLOOKUP(A44,Trips[ID],Trips[Trip],"",0)</f>
        <v>SPS Sep 2026</v>
      </c>
      <c r="C44" s="25" t="s">
        <v>83</v>
      </c>
      <c r="D44" s="17">
        <v>46271</v>
      </c>
      <c r="E44" s="26" t="s">
        <v>37</v>
      </c>
      <c r="F44" s="25" t="s">
        <v>86</v>
      </c>
      <c r="G44" s="39" t="s">
        <v>16</v>
      </c>
      <c r="H44" s="20" t="s">
        <v>16</v>
      </c>
      <c r="I44" s="28" t="s">
        <v>39</v>
      </c>
      <c r="J44" s="22">
        <v>27</v>
      </c>
      <c r="K44" s="29">
        <v>75</v>
      </c>
      <c r="L44" s="30">
        <f t="shared" si="0"/>
        <v>75</v>
      </c>
      <c r="M44" s="31">
        <f t="shared" si="1"/>
        <v>2.7777777777777777</v>
      </c>
    </row>
    <row r="45" spans="1:13" ht="22.5" customHeight="1" x14ac:dyDescent="0.35">
      <c r="A45" s="16" t="s">
        <v>8</v>
      </c>
      <c r="B45" s="16" t="str">
        <f t="array" ref="B45">_xlfn.XLOOKUP(A45,Trips[ID],Trips[Trip],"",0)</f>
        <v>SPS Sep 2026</v>
      </c>
      <c r="C45" s="16" t="s">
        <v>83</v>
      </c>
      <c r="D45" s="17">
        <v>46271</v>
      </c>
      <c r="E45" s="32" t="s">
        <v>37</v>
      </c>
      <c r="F45" s="16" t="s">
        <v>87</v>
      </c>
      <c r="G45" s="32" t="s">
        <v>18</v>
      </c>
      <c r="H45" s="20" t="s">
        <v>16</v>
      </c>
      <c r="I45" s="21" t="s">
        <v>39</v>
      </c>
      <c r="J45" s="22">
        <v>27</v>
      </c>
      <c r="K45" s="23">
        <v>285</v>
      </c>
      <c r="L45" s="22">
        <f t="shared" si="0"/>
        <v>285</v>
      </c>
      <c r="M45" s="24">
        <f t="shared" si="1"/>
        <v>10.555555555555555</v>
      </c>
    </row>
    <row r="46" spans="1:13" ht="22.5" customHeight="1" x14ac:dyDescent="0.35">
      <c r="A46" s="25" t="s">
        <v>8</v>
      </c>
      <c r="B46" s="25" t="str">
        <f t="array" ref="B46">_xlfn.XLOOKUP(A46,Trips[ID],Trips[Trip],"",0)</f>
        <v>SPS Sep 2026</v>
      </c>
      <c r="C46" s="25" t="s">
        <v>83</v>
      </c>
      <c r="D46" s="17">
        <v>46271</v>
      </c>
      <c r="E46" s="26" t="s">
        <v>37</v>
      </c>
      <c r="F46" s="25" t="s">
        <v>88</v>
      </c>
      <c r="G46" s="27" t="s">
        <v>13</v>
      </c>
      <c r="H46" s="20" t="s">
        <v>16</v>
      </c>
      <c r="I46" s="28" t="s">
        <v>39</v>
      </c>
      <c r="J46" s="22">
        <v>27</v>
      </c>
      <c r="K46" s="29">
        <v>89</v>
      </c>
      <c r="L46" s="30">
        <f t="shared" si="0"/>
        <v>89</v>
      </c>
      <c r="M46" s="31">
        <f t="shared" si="1"/>
        <v>3.2962962962962963</v>
      </c>
    </row>
    <row r="47" spans="1:13" ht="22.5" customHeight="1" x14ac:dyDescent="0.35">
      <c r="A47" s="16" t="s">
        <v>8</v>
      </c>
      <c r="B47" s="16" t="str">
        <f t="array" ref="B47">_xlfn.XLOOKUP(A47,Trips[ID],Trips[Trip],"",0)</f>
        <v>SPS Sep 2026</v>
      </c>
      <c r="C47" s="16" t="s">
        <v>83</v>
      </c>
      <c r="D47" s="17">
        <v>46271</v>
      </c>
      <c r="E47" s="32" t="s">
        <v>37</v>
      </c>
      <c r="F47" s="16" t="s">
        <v>89</v>
      </c>
      <c r="G47" s="37" t="s">
        <v>13</v>
      </c>
      <c r="H47" s="20" t="s">
        <v>16</v>
      </c>
      <c r="I47" s="21" t="s">
        <v>39</v>
      </c>
      <c r="J47" s="22">
        <v>27</v>
      </c>
      <c r="K47" s="23">
        <v>89</v>
      </c>
      <c r="L47" s="22">
        <f t="shared" si="0"/>
        <v>89</v>
      </c>
      <c r="M47" s="24">
        <f t="shared" si="1"/>
        <v>3.2962962962962963</v>
      </c>
    </row>
    <row r="48" spans="1:13" ht="22.5" customHeight="1" x14ac:dyDescent="0.35">
      <c r="A48" s="25" t="s">
        <v>8</v>
      </c>
      <c r="B48" s="25" t="str">
        <f t="array" ref="B48">_xlfn.XLOOKUP(A48,Trips[ID],Trips[Trip],"",0)</f>
        <v>SPS Sep 2026</v>
      </c>
      <c r="C48" s="25" t="s">
        <v>83</v>
      </c>
      <c r="D48" s="17">
        <v>46271</v>
      </c>
      <c r="E48" s="26" t="s">
        <v>37</v>
      </c>
      <c r="F48" s="25" t="s">
        <v>90</v>
      </c>
      <c r="G48" s="27" t="s">
        <v>13</v>
      </c>
      <c r="H48" s="20" t="s">
        <v>16</v>
      </c>
      <c r="I48" s="28" t="s">
        <v>39</v>
      </c>
      <c r="J48" s="22">
        <v>27</v>
      </c>
      <c r="K48" s="29">
        <v>175</v>
      </c>
      <c r="L48" s="30">
        <f t="shared" si="0"/>
        <v>175</v>
      </c>
      <c r="M48" s="31">
        <f t="shared" si="1"/>
        <v>6.4814814814814818</v>
      </c>
    </row>
    <row r="49" spans="1:13" ht="22.5" customHeight="1" x14ac:dyDescent="0.35">
      <c r="A49" s="16" t="s">
        <v>8</v>
      </c>
      <c r="B49" s="16" t="str">
        <f t="array" ref="B49">_xlfn.XLOOKUP(A49,Trips[ID],Trips[Trip],"",0)</f>
        <v>SPS Sep 2026</v>
      </c>
      <c r="C49" s="16" t="s">
        <v>83</v>
      </c>
      <c r="D49" s="17">
        <v>46271</v>
      </c>
      <c r="E49" s="32" t="s">
        <v>37</v>
      </c>
      <c r="F49" s="16" t="s">
        <v>91</v>
      </c>
      <c r="G49" s="37" t="s">
        <v>13</v>
      </c>
      <c r="H49" s="20" t="s">
        <v>16</v>
      </c>
      <c r="I49" s="21" t="s">
        <v>39</v>
      </c>
      <c r="J49" s="22">
        <v>27</v>
      </c>
      <c r="K49" s="23">
        <v>45</v>
      </c>
      <c r="L49" s="22">
        <f t="shared" si="0"/>
        <v>45</v>
      </c>
      <c r="M49" s="24">
        <f t="shared" si="1"/>
        <v>1.6666666666666667</v>
      </c>
    </row>
    <row r="50" spans="1:13" ht="22.5" customHeight="1" x14ac:dyDescent="0.35">
      <c r="A50" s="25" t="s">
        <v>8</v>
      </c>
      <c r="B50" s="25" t="str">
        <f t="array" ref="B50">_xlfn.XLOOKUP(A50,Trips[ID],Trips[Trip],"",0)</f>
        <v>SPS Sep 2026</v>
      </c>
      <c r="C50" s="25" t="s">
        <v>83</v>
      </c>
      <c r="D50" s="17">
        <v>46271</v>
      </c>
      <c r="E50" s="26" t="s">
        <v>37</v>
      </c>
      <c r="F50" s="25" t="s">
        <v>92</v>
      </c>
      <c r="G50" s="34" t="s">
        <v>21</v>
      </c>
      <c r="H50" s="20" t="s">
        <v>16</v>
      </c>
      <c r="I50" s="28" t="s">
        <v>39</v>
      </c>
      <c r="J50" s="22">
        <v>27</v>
      </c>
      <c r="K50" s="29">
        <v>299</v>
      </c>
      <c r="L50" s="30">
        <f t="shared" si="0"/>
        <v>299</v>
      </c>
      <c r="M50" s="31">
        <f t="shared" si="1"/>
        <v>11.074074074074074</v>
      </c>
    </row>
    <row r="51" spans="1:13" ht="22.5" customHeight="1" x14ac:dyDescent="0.35">
      <c r="A51" s="16" t="s">
        <v>8</v>
      </c>
      <c r="B51" s="16" t="str">
        <f t="array" ref="B51">_xlfn.XLOOKUP(A51,Trips[ID],Trips[Trip],"",0)</f>
        <v>SPS Sep 2026</v>
      </c>
      <c r="C51" s="16" t="s">
        <v>83</v>
      </c>
      <c r="D51" s="17">
        <v>46271</v>
      </c>
      <c r="E51" s="32" t="s">
        <v>37</v>
      </c>
      <c r="F51" s="16" t="s">
        <v>93</v>
      </c>
      <c r="G51" s="35" t="s">
        <v>21</v>
      </c>
      <c r="H51" s="20" t="s">
        <v>16</v>
      </c>
      <c r="I51" s="21" t="s">
        <v>39</v>
      </c>
      <c r="J51" s="22">
        <v>27</v>
      </c>
      <c r="K51" s="23">
        <v>45</v>
      </c>
      <c r="L51" s="22">
        <f t="shared" si="0"/>
        <v>45</v>
      </c>
      <c r="M51" s="24">
        <f t="shared" si="1"/>
        <v>1.6666666666666667</v>
      </c>
    </row>
    <row r="52" spans="1:13" ht="22.5" customHeight="1" x14ac:dyDescent="0.35">
      <c r="A52" s="25" t="s">
        <v>8</v>
      </c>
      <c r="B52" s="25" t="str">
        <f t="array" ref="B52">_xlfn.XLOOKUP(A52,Trips[ID],Trips[Trip],"",0)</f>
        <v>SPS Sep 2026</v>
      </c>
      <c r="C52" s="25" t="s">
        <v>83</v>
      </c>
      <c r="D52" s="17">
        <v>46271</v>
      </c>
      <c r="E52" s="26" t="s">
        <v>37</v>
      </c>
      <c r="F52" s="25" t="s">
        <v>94</v>
      </c>
      <c r="G52" s="34" t="s">
        <v>21</v>
      </c>
      <c r="H52" s="20" t="s">
        <v>16</v>
      </c>
      <c r="I52" s="28" t="s">
        <v>39</v>
      </c>
      <c r="J52" s="22">
        <v>27</v>
      </c>
      <c r="K52" s="29">
        <v>5</v>
      </c>
      <c r="L52" s="30">
        <f t="shared" si="0"/>
        <v>5</v>
      </c>
      <c r="M52" s="31">
        <f t="shared" si="1"/>
        <v>0.18518518518518517</v>
      </c>
    </row>
    <row r="53" spans="1:13" ht="22.5" customHeight="1" x14ac:dyDescent="0.35">
      <c r="A53" s="16" t="s">
        <v>8</v>
      </c>
      <c r="B53" s="16" t="str">
        <f t="array" ref="B53">_xlfn.XLOOKUP(A53,Trips[ID],Trips[Trip],"",0)</f>
        <v>SPS Sep 2026</v>
      </c>
      <c r="C53" s="16" t="s">
        <v>95</v>
      </c>
      <c r="D53" s="17">
        <v>46271</v>
      </c>
      <c r="E53" s="32" t="s">
        <v>37</v>
      </c>
      <c r="F53" s="16" t="s">
        <v>96</v>
      </c>
      <c r="G53" s="37" t="s">
        <v>13</v>
      </c>
      <c r="H53" s="20" t="s">
        <v>16</v>
      </c>
      <c r="I53" s="21" t="s">
        <v>39</v>
      </c>
      <c r="J53" s="22">
        <v>27</v>
      </c>
      <c r="K53" s="23">
        <v>116</v>
      </c>
      <c r="L53" s="22">
        <f t="shared" si="0"/>
        <v>116</v>
      </c>
      <c r="M53" s="24">
        <f t="shared" si="1"/>
        <v>4.2962962962962967</v>
      </c>
    </row>
    <row r="54" spans="1:13" ht="22.5" customHeight="1" x14ac:dyDescent="0.35">
      <c r="A54" s="25" t="s">
        <v>8</v>
      </c>
      <c r="B54" s="25" t="str">
        <f t="array" ref="B54">_xlfn.XLOOKUP(A54,Trips[ID],Trips[Trip],"",0)</f>
        <v>SPS Sep 2026</v>
      </c>
      <c r="C54" s="25" t="s">
        <v>95</v>
      </c>
      <c r="D54" s="17">
        <v>46271</v>
      </c>
      <c r="E54" s="26" t="s">
        <v>37</v>
      </c>
      <c r="F54" s="25" t="s">
        <v>97</v>
      </c>
      <c r="G54" s="34" t="s">
        <v>21</v>
      </c>
      <c r="H54" s="20" t="s">
        <v>16</v>
      </c>
      <c r="I54" s="28" t="s">
        <v>39</v>
      </c>
      <c r="J54" s="22">
        <v>27</v>
      </c>
      <c r="K54" s="29">
        <v>137</v>
      </c>
      <c r="L54" s="30">
        <f t="shared" si="0"/>
        <v>137</v>
      </c>
      <c r="M54" s="31">
        <f t="shared" si="1"/>
        <v>5.0740740740740744</v>
      </c>
    </row>
    <row r="55" spans="1:13" ht="22.5" customHeight="1" x14ac:dyDescent="0.35">
      <c r="A55" s="16" t="s">
        <v>8</v>
      </c>
      <c r="B55" s="16" t="str">
        <f t="array" ref="B55">_xlfn.XLOOKUP(A55,Trips[ID],Trips[Trip],"",0)</f>
        <v>SPS Sep 2026</v>
      </c>
      <c r="C55" s="16" t="s">
        <v>95</v>
      </c>
      <c r="D55" s="17">
        <v>46271</v>
      </c>
      <c r="E55" s="32" t="s">
        <v>37</v>
      </c>
      <c r="F55" s="16" t="s">
        <v>98</v>
      </c>
      <c r="G55" s="33" t="s">
        <v>16</v>
      </c>
      <c r="H55" s="20" t="s">
        <v>16</v>
      </c>
      <c r="I55" s="21" t="s">
        <v>39</v>
      </c>
      <c r="J55" s="22">
        <v>27</v>
      </c>
      <c r="K55" s="23">
        <v>151</v>
      </c>
      <c r="L55" s="22">
        <f t="shared" si="0"/>
        <v>151</v>
      </c>
      <c r="M55" s="24">
        <f t="shared" si="1"/>
        <v>5.5925925925925926</v>
      </c>
    </row>
    <row r="56" spans="1:13" ht="22.5" customHeight="1" x14ac:dyDescent="0.35">
      <c r="A56" s="25" t="s">
        <v>8</v>
      </c>
      <c r="B56" s="25" t="str">
        <f t="array" ref="B56">_xlfn.XLOOKUP(A56,Trips[ID],Trips[Trip],"",0)</f>
        <v>SPS Sep 2026</v>
      </c>
      <c r="C56" s="25" t="s">
        <v>95</v>
      </c>
      <c r="D56" s="17">
        <v>46271</v>
      </c>
      <c r="E56" s="26" t="s">
        <v>37</v>
      </c>
      <c r="F56" s="25" t="s">
        <v>99</v>
      </c>
      <c r="G56" s="26" t="s">
        <v>18</v>
      </c>
      <c r="H56" s="20" t="s">
        <v>16</v>
      </c>
      <c r="I56" s="28" t="s">
        <v>39</v>
      </c>
      <c r="J56" s="22">
        <v>27</v>
      </c>
      <c r="K56" s="29">
        <v>130</v>
      </c>
      <c r="L56" s="30">
        <f t="shared" si="0"/>
        <v>130</v>
      </c>
      <c r="M56" s="31">
        <f t="shared" si="1"/>
        <v>4.8148148148148149</v>
      </c>
    </row>
    <row r="57" spans="1:13" ht="22.5" customHeight="1" x14ac:dyDescent="0.35">
      <c r="A57" s="16" t="s">
        <v>8</v>
      </c>
      <c r="B57" s="16" t="str">
        <f t="array" ref="B57">_xlfn.XLOOKUP(A57,Trips[ID],Trips[Trip],"",0)</f>
        <v>SPS Sep 2026</v>
      </c>
      <c r="C57" s="16" t="s">
        <v>100</v>
      </c>
      <c r="D57" s="17">
        <v>46271</v>
      </c>
      <c r="E57" s="32" t="s">
        <v>37</v>
      </c>
      <c r="F57" s="16" t="s">
        <v>101</v>
      </c>
      <c r="G57" s="19" t="s">
        <v>9</v>
      </c>
      <c r="H57" s="20" t="s">
        <v>16</v>
      </c>
      <c r="I57" s="21" t="s">
        <v>39</v>
      </c>
      <c r="J57" s="22">
        <v>27</v>
      </c>
      <c r="K57" s="23">
        <v>285</v>
      </c>
      <c r="L57" s="22">
        <f t="shared" si="0"/>
        <v>285</v>
      </c>
      <c r="M57" s="24">
        <f t="shared" si="1"/>
        <v>10.555555555555555</v>
      </c>
    </row>
    <row r="58" spans="1:13" ht="22.5" customHeight="1" x14ac:dyDescent="0.35">
      <c r="A58" s="25" t="s">
        <v>8</v>
      </c>
      <c r="B58" s="25" t="str">
        <f t="array" ref="B58">_xlfn.XLOOKUP(A58,Trips[ID],Trips[Trip],"",0)</f>
        <v>SPS Sep 2026</v>
      </c>
      <c r="C58" s="25" t="s">
        <v>102</v>
      </c>
      <c r="D58" s="17">
        <v>46271</v>
      </c>
      <c r="E58" s="26" t="s">
        <v>37</v>
      </c>
      <c r="F58" s="25" t="s">
        <v>103</v>
      </c>
      <c r="G58" s="36" t="s">
        <v>9</v>
      </c>
      <c r="H58" s="20" t="s">
        <v>16</v>
      </c>
      <c r="I58" s="28" t="s">
        <v>39</v>
      </c>
      <c r="J58" s="22">
        <v>27</v>
      </c>
      <c r="K58" s="29">
        <v>1800</v>
      </c>
      <c r="L58" s="30">
        <f t="shared" si="0"/>
        <v>1800</v>
      </c>
      <c r="M58" s="31">
        <f t="shared" si="1"/>
        <v>66.666666666666671</v>
      </c>
    </row>
    <row r="59" spans="1:13" ht="22.5" customHeight="1" x14ac:dyDescent="0.35">
      <c r="A59" s="16" t="s">
        <v>8</v>
      </c>
      <c r="B59" s="16" t="str">
        <f t="array" ref="B59">_xlfn.XLOOKUP(A59,Trips[ID],Trips[Trip],"",0)</f>
        <v>SPS Sep 2026</v>
      </c>
      <c r="C59" s="16" t="s">
        <v>102</v>
      </c>
      <c r="D59" s="17">
        <v>46271</v>
      </c>
      <c r="E59" s="32" t="s">
        <v>37</v>
      </c>
      <c r="F59" s="16" t="s">
        <v>104</v>
      </c>
      <c r="G59" s="19" t="s">
        <v>9</v>
      </c>
      <c r="H59" s="20" t="s">
        <v>16</v>
      </c>
      <c r="I59" s="21" t="s">
        <v>39</v>
      </c>
      <c r="J59" s="22">
        <v>27</v>
      </c>
      <c r="K59" s="23">
        <v>823</v>
      </c>
      <c r="L59" s="22">
        <f t="shared" si="0"/>
        <v>823</v>
      </c>
      <c r="M59" s="24">
        <f t="shared" si="1"/>
        <v>30.481481481481481</v>
      </c>
    </row>
    <row r="60" spans="1:13" ht="12.75" x14ac:dyDescent="0.35">
      <c r="I60" s="44"/>
    </row>
    <row r="61" spans="1:13" ht="12.75" x14ac:dyDescent="0.35">
      <c r="I61" s="44"/>
    </row>
    <row r="62" spans="1:13" ht="12.75" x14ac:dyDescent="0.35">
      <c r="I62" s="44"/>
    </row>
    <row r="63" spans="1:13" ht="12.75" x14ac:dyDescent="0.35">
      <c r="I63" s="44"/>
    </row>
    <row r="64" spans="1:13" ht="12.75" x14ac:dyDescent="0.35">
      <c r="I64" s="44"/>
    </row>
    <row r="65" spans="9:9" ht="12.75" x14ac:dyDescent="0.35">
      <c r="I65" s="44"/>
    </row>
    <row r="66" spans="9:9" ht="12.75" x14ac:dyDescent="0.35">
      <c r="I66" s="44"/>
    </row>
    <row r="67" spans="9:9" ht="12.75" x14ac:dyDescent="0.35">
      <c r="I67" s="44"/>
    </row>
    <row r="68" spans="9:9" ht="12.75" x14ac:dyDescent="0.35">
      <c r="I68" s="44"/>
    </row>
    <row r="69" spans="9:9" ht="12.75" x14ac:dyDescent="0.35">
      <c r="I69" s="44"/>
    </row>
    <row r="70" spans="9:9" ht="12.75" x14ac:dyDescent="0.35">
      <c r="I70" s="44"/>
    </row>
    <row r="71" spans="9:9" ht="12.75" x14ac:dyDescent="0.35">
      <c r="I71" s="44"/>
    </row>
    <row r="72" spans="9:9" ht="12.75" x14ac:dyDescent="0.35">
      <c r="I72" s="44"/>
    </row>
    <row r="73" spans="9:9" ht="12.75" x14ac:dyDescent="0.35">
      <c r="I73" s="44"/>
    </row>
    <row r="74" spans="9:9" ht="12.75" x14ac:dyDescent="0.35">
      <c r="I74" s="44"/>
    </row>
    <row r="75" spans="9:9" ht="12.75" x14ac:dyDescent="0.35">
      <c r="I75" s="44"/>
    </row>
    <row r="76" spans="9:9" ht="12.75" x14ac:dyDescent="0.35">
      <c r="I76" s="44"/>
    </row>
    <row r="77" spans="9:9" ht="12.75" x14ac:dyDescent="0.35">
      <c r="I77" s="44"/>
    </row>
    <row r="78" spans="9:9" ht="12.75" x14ac:dyDescent="0.35">
      <c r="I78" s="44"/>
    </row>
    <row r="79" spans="9:9" ht="12.75" x14ac:dyDescent="0.35">
      <c r="I79" s="44"/>
    </row>
    <row r="80" spans="9:9" ht="12.75" x14ac:dyDescent="0.35">
      <c r="I80" s="44"/>
    </row>
    <row r="81" spans="9:9" ht="12.75" x14ac:dyDescent="0.35">
      <c r="I81" s="44"/>
    </row>
    <row r="82" spans="9:9" ht="12.75" x14ac:dyDescent="0.35">
      <c r="I82" s="44"/>
    </row>
    <row r="83" spans="9:9" ht="12.75" x14ac:dyDescent="0.35">
      <c r="I83" s="44"/>
    </row>
    <row r="84" spans="9:9" ht="12.75" x14ac:dyDescent="0.35">
      <c r="I84" s="44"/>
    </row>
    <row r="85" spans="9:9" ht="12.75" x14ac:dyDescent="0.35">
      <c r="I85" s="44"/>
    </row>
    <row r="86" spans="9:9" ht="12.75" x14ac:dyDescent="0.35">
      <c r="I86" s="44"/>
    </row>
    <row r="87" spans="9:9" ht="12.75" x14ac:dyDescent="0.35">
      <c r="I87" s="44"/>
    </row>
    <row r="88" spans="9:9" ht="12.75" x14ac:dyDescent="0.35">
      <c r="I88" s="44"/>
    </row>
    <row r="89" spans="9:9" ht="12.75" x14ac:dyDescent="0.35">
      <c r="I89" s="44"/>
    </row>
    <row r="90" spans="9:9" ht="12.75" x14ac:dyDescent="0.35">
      <c r="I90" s="44"/>
    </row>
    <row r="91" spans="9:9" ht="12.75" x14ac:dyDescent="0.35">
      <c r="I91" s="44"/>
    </row>
    <row r="92" spans="9:9" ht="12.75" x14ac:dyDescent="0.35">
      <c r="I92" s="44"/>
    </row>
    <row r="93" spans="9:9" ht="12.75" x14ac:dyDescent="0.35">
      <c r="I93" s="44"/>
    </row>
    <row r="94" spans="9:9" ht="12.75" x14ac:dyDescent="0.35">
      <c r="I94" s="44"/>
    </row>
    <row r="95" spans="9:9" ht="12.75" x14ac:dyDescent="0.35">
      <c r="I95" s="44"/>
    </row>
    <row r="96" spans="9:9" ht="12.75" x14ac:dyDescent="0.35">
      <c r="I96" s="44"/>
    </row>
    <row r="97" spans="9:9" ht="12.75" x14ac:dyDescent="0.35">
      <c r="I97" s="44"/>
    </row>
    <row r="98" spans="9:9" ht="12.75" x14ac:dyDescent="0.35">
      <c r="I98" s="44"/>
    </row>
    <row r="99" spans="9:9" ht="12.75" x14ac:dyDescent="0.35">
      <c r="I99" s="44"/>
    </row>
    <row r="100" spans="9:9" ht="12.75" x14ac:dyDescent="0.35">
      <c r="I100" s="44"/>
    </row>
    <row r="101" spans="9:9" ht="12.75" x14ac:dyDescent="0.35">
      <c r="I101" s="44"/>
    </row>
    <row r="102" spans="9:9" ht="12.75" x14ac:dyDescent="0.35">
      <c r="I102" s="44"/>
    </row>
    <row r="103" spans="9:9" ht="12.75" x14ac:dyDescent="0.35">
      <c r="I103" s="44"/>
    </row>
    <row r="104" spans="9:9" ht="12.75" x14ac:dyDescent="0.35">
      <c r="I104" s="44"/>
    </row>
    <row r="105" spans="9:9" ht="12.75" x14ac:dyDescent="0.35">
      <c r="I105" s="44"/>
    </row>
    <row r="106" spans="9:9" ht="12.75" x14ac:dyDescent="0.35">
      <c r="I106" s="44"/>
    </row>
    <row r="107" spans="9:9" ht="12.75" x14ac:dyDescent="0.35">
      <c r="I107" s="44"/>
    </row>
    <row r="108" spans="9:9" ht="12.75" x14ac:dyDescent="0.35">
      <c r="I108" s="44"/>
    </row>
    <row r="109" spans="9:9" ht="12.75" x14ac:dyDescent="0.35">
      <c r="I109" s="44"/>
    </row>
    <row r="110" spans="9:9" ht="12.75" x14ac:dyDescent="0.35">
      <c r="I110" s="44"/>
    </row>
    <row r="111" spans="9:9" ht="12.75" x14ac:dyDescent="0.35">
      <c r="I111" s="44"/>
    </row>
    <row r="112" spans="9:9" ht="12.75" x14ac:dyDescent="0.35">
      <c r="I112" s="44"/>
    </row>
    <row r="113" spans="9:9" ht="12.75" x14ac:dyDescent="0.35">
      <c r="I113" s="44"/>
    </row>
    <row r="114" spans="9:9" ht="12.75" x14ac:dyDescent="0.35">
      <c r="I114" s="44"/>
    </row>
    <row r="115" spans="9:9" ht="12.75" x14ac:dyDescent="0.35">
      <c r="I115" s="44"/>
    </row>
    <row r="116" spans="9:9" ht="12.75" x14ac:dyDescent="0.35">
      <c r="I116" s="44"/>
    </row>
    <row r="117" spans="9:9" ht="12.75" x14ac:dyDescent="0.35">
      <c r="I117" s="44"/>
    </row>
    <row r="118" spans="9:9" ht="12.75" x14ac:dyDescent="0.35">
      <c r="I118" s="44"/>
    </row>
    <row r="119" spans="9:9" ht="12.75" x14ac:dyDescent="0.35">
      <c r="I119" s="44"/>
    </row>
    <row r="120" spans="9:9" ht="12.75" x14ac:dyDescent="0.35">
      <c r="I120" s="44"/>
    </row>
    <row r="121" spans="9:9" ht="12.75" x14ac:dyDescent="0.35">
      <c r="I121" s="44"/>
    </row>
    <row r="122" spans="9:9" ht="12.75" x14ac:dyDescent="0.35">
      <c r="I122" s="44"/>
    </row>
    <row r="123" spans="9:9" ht="12.75" x14ac:dyDescent="0.35">
      <c r="I123" s="44"/>
    </row>
    <row r="124" spans="9:9" ht="12.75" x14ac:dyDescent="0.35">
      <c r="I124" s="44"/>
    </row>
    <row r="125" spans="9:9" ht="12.75" x14ac:dyDescent="0.35">
      <c r="I125" s="44"/>
    </row>
    <row r="126" spans="9:9" ht="12.75" x14ac:dyDescent="0.35">
      <c r="I126" s="44"/>
    </row>
    <row r="127" spans="9:9" ht="12.75" x14ac:dyDescent="0.35">
      <c r="I127" s="44"/>
    </row>
    <row r="128" spans="9:9" ht="12.75" x14ac:dyDescent="0.35">
      <c r="I128" s="44"/>
    </row>
    <row r="129" spans="9:9" ht="12.75" x14ac:dyDescent="0.35">
      <c r="I129" s="44"/>
    </row>
    <row r="130" spans="9:9" ht="12.75" x14ac:dyDescent="0.35">
      <c r="I130" s="44"/>
    </row>
    <row r="131" spans="9:9" ht="12.75" x14ac:dyDescent="0.35">
      <c r="I131" s="44"/>
    </row>
    <row r="132" spans="9:9" ht="12.75" x14ac:dyDescent="0.35">
      <c r="I132" s="44"/>
    </row>
    <row r="133" spans="9:9" ht="12.75" x14ac:dyDescent="0.35">
      <c r="I133" s="44"/>
    </row>
    <row r="134" spans="9:9" ht="12.75" x14ac:dyDescent="0.35">
      <c r="I134" s="44"/>
    </row>
    <row r="135" spans="9:9" ht="12.75" x14ac:dyDescent="0.35">
      <c r="I135" s="44"/>
    </row>
    <row r="136" spans="9:9" ht="12.75" x14ac:dyDescent="0.35">
      <c r="I136" s="44"/>
    </row>
    <row r="137" spans="9:9" ht="12.75" x14ac:dyDescent="0.35">
      <c r="I137" s="44"/>
    </row>
    <row r="138" spans="9:9" ht="12.75" x14ac:dyDescent="0.35">
      <c r="I138" s="44"/>
    </row>
    <row r="139" spans="9:9" ht="12.75" x14ac:dyDescent="0.35">
      <c r="I139" s="44"/>
    </row>
    <row r="140" spans="9:9" ht="12.75" x14ac:dyDescent="0.35">
      <c r="I140" s="44"/>
    </row>
    <row r="141" spans="9:9" ht="12.75" x14ac:dyDescent="0.35">
      <c r="I141" s="44"/>
    </row>
    <row r="142" spans="9:9" ht="12.75" x14ac:dyDescent="0.35">
      <c r="I142" s="44"/>
    </row>
    <row r="143" spans="9:9" ht="12.75" x14ac:dyDescent="0.35">
      <c r="I143" s="44"/>
    </row>
    <row r="144" spans="9:9" ht="12.75" x14ac:dyDescent="0.35">
      <c r="I144" s="44"/>
    </row>
    <row r="145" spans="9:9" ht="12.75" x14ac:dyDescent="0.35">
      <c r="I145" s="44"/>
    </row>
    <row r="146" spans="9:9" ht="12.75" x14ac:dyDescent="0.35">
      <c r="I146" s="44"/>
    </row>
    <row r="147" spans="9:9" ht="12.75" x14ac:dyDescent="0.35">
      <c r="I147" s="44"/>
    </row>
    <row r="148" spans="9:9" ht="12.75" x14ac:dyDescent="0.35">
      <c r="I148" s="44"/>
    </row>
    <row r="149" spans="9:9" ht="12.75" x14ac:dyDescent="0.35">
      <c r="I149" s="44"/>
    </row>
    <row r="150" spans="9:9" ht="12.75" x14ac:dyDescent="0.35">
      <c r="I150" s="44"/>
    </row>
    <row r="151" spans="9:9" ht="12.75" x14ac:dyDescent="0.35">
      <c r="I151" s="44"/>
    </row>
    <row r="152" spans="9:9" ht="12.75" x14ac:dyDescent="0.35">
      <c r="I152" s="44"/>
    </row>
    <row r="153" spans="9:9" ht="12.75" x14ac:dyDescent="0.35">
      <c r="I153" s="44"/>
    </row>
    <row r="154" spans="9:9" ht="12.75" x14ac:dyDescent="0.35">
      <c r="I154" s="44"/>
    </row>
    <row r="155" spans="9:9" ht="12.75" x14ac:dyDescent="0.35">
      <c r="I155" s="44"/>
    </row>
    <row r="156" spans="9:9" ht="12.75" x14ac:dyDescent="0.35">
      <c r="I156" s="44"/>
    </row>
    <row r="157" spans="9:9" ht="12.75" x14ac:dyDescent="0.35">
      <c r="I157" s="44"/>
    </row>
    <row r="158" spans="9:9" ht="12.75" x14ac:dyDescent="0.35">
      <c r="I158" s="44"/>
    </row>
    <row r="159" spans="9:9" ht="12.75" x14ac:dyDescent="0.35">
      <c r="I159" s="44"/>
    </row>
    <row r="160" spans="9:9" ht="12.75" x14ac:dyDescent="0.35">
      <c r="I160" s="44"/>
    </row>
    <row r="161" spans="9:9" ht="12.75" x14ac:dyDescent="0.35">
      <c r="I161" s="44"/>
    </row>
    <row r="162" spans="9:9" ht="12.75" x14ac:dyDescent="0.35">
      <c r="I162" s="44"/>
    </row>
    <row r="163" spans="9:9" ht="12.75" x14ac:dyDescent="0.35">
      <c r="I163" s="44"/>
    </row>
    <row r="164" spans="9:9" ht="12.75" x14ac:dyDescent="0.35">
      <c r="I164" s="44"/>
    </row>
    <row r="165" spans="9:9" ht="12.75" x14ac:dyDescent="0.35">
      <c r="I165" s="44"/>
    </row>
    <row r="166" spans="9:9" ht="12.75" x14ac:dyDescent="0.35">
      <c r="I166" s="44"/>
    </row>
    <row r="167" spans="9:9" ht="12.75" x14ac:dyDescent="0.35">
      <c r="I167" s="44"/>
    </row>
    <row r="168" spans="9:9" ht="12.75" x14ac:dyDescent="0.35">
      <c r="I168" s="44"/>
    </row>
    <row r="169" spans="9:9" ht="12.75" x14ac:dyDescent="0.35">
      <c r="I169" s="44"/>
    </row>
    <row r="170" spans="9:9" ht="12.75" x14ac:dyDescent="0.35">
      <c r="I170" s="44"/>
    </row>
    <row r="171" spans="9:9" ht="12.75" x14ac:dyDescent="0.35">
      <c r="I171" s="44"/>
    </row>
    <row r="172" spans="9:9" ht="12.75" x14ac:dyDescent="0.35">
      <c r="I172" s="44"/>
    </row>
    <row r="173" spans="9:9" ht="12.75" x14ac:dyDescent="0.35">
      <c r="I173" s="44"/>
    </row>
    <row r="174" spans="9:9" ht="12.75" x14ac:dyDescent="0.35">
      <c r="I174" s="44"/>
    </row>
    <row r="175" spans="9:9" ht="12.75" x14ac:dyDescent="0.35">
      <c r="I175" s="44"/>
    </row>
    <row r="176" spans="9:9" ht="12.75" x14ac:dyDescent="0.35">
      <c r="I176" s="44"/>
    </row>
    <row r="177" spans="9:9" ht="12.75" x14ac:dyDescent="0.35">
      <c r="I177" s="44"/>
    </row>
    <row r="178" spans="9:9" ht="12.75" x14ac:dyDescent="0.35">
      <c r="I178" s="44"/>
    </row>
    <row r="179" spans="9:9" ht="12.75" x14ac:dyDescent="0.35">
      <c r="I179" s="44"/>
    </row>
    <row r="180" spans="9:9" ht="12.75" x14ac:dyDescent="0.35">
      <c r="I180" s="44"/>
    </row>
    <row r="181" spans="9:9" ht="12.75" x14ac:dyDescent="0.35">
      <c r="I181" s="44"/>
    </row>
    <row r="182" spans="9:9" ht="12.75" x14ac:dyDescent="0.35">
      <c r="I182" s="44"/>
    </row>
    <row r="183" spans="9:9" ht="12.75" x14ac:dyDescent="0.35">
      <c r="I183" s="44"/>
    </row>
    <row r="184" spans="9:9" ht="12.75" x14ac:dyDescent="0.35">
      <c r="I184" s="44"/>
    </row>
    <row r="185" spans="9:9" ht="12.75" x14ac:dyDescent="0.35">
      <c r="I185" s="44"/>
    </row>
    <row r="186" spans="9:9" ht="12.75" x14ac:dyDescent="0.35">
      <c r="I186" s="44"/>
    </row>
    <row r="187" spans="9:9" ht="12.75" x14ac:dyDescent="0.35">
      <c r="I187" s="44"/>
    </row>
    <row r="188" spans="9:9" ht="12.75" x14ac:dyDescent="0.35">
      <c r="I188" s="44"/>
    </row>
    <row r="189" spans="9:9" ht="12.75" x14ac:dyDescent="0.35">
      <c r="I189" s="44"/>
    </row>
    <row r="190" spans="9:9" ht="12.75" x14ac:dyDescent="0.35">
      <c r="I190" s="44"/>
    </row>
    <row r="191" spans="9:9" ht="12.75" x14ac:dyDescent="0.35">
      <c r="I191" s="44"/>
    </row>
    <row r="192" spans="9:9" ht="12.75" x14ac:dyDescent="0.35">
      <c r="I192" s="44"/>
    </row>
    <row r="193" spans="9:9" ht="12.75" x14ac:dyDescent="0.35">
      <c r="I193" s="44"/>
    </row>
    <row r="194" spans="9:9" ht="12.75" x14ac:dyDescent="0.35">
      <c r="I194" s="44"/>
    </row>
    <row r="195" spans="9:9" ht="12.75" x14ac:dyDescent="0.35">
      <c r="I195" s="44"/>
    </row>
    <row r="196" spans="9:9" ht="12.75" x14ac:dyDescent="0.35">
      <c r="I196" s="44"/>
    </row>
    <row r="197" spans="9:9" ht="12.75" x14ac:dyDescent="0.35">
      <c r="I197" s="44"/>
    </row>
    <row r="198" spans="9:9" ht="12.75" x14ac:dyDescent="0.35">
      <c r="I198" s="44"/>
    </row>
    <row r="199" spans="9:9" ht="12.75" x14ac:dyDescent="0.35">
      <c r="I199" s="44"/>
    </row>
    <row r="200" spans="9:9" ht="12.75" x14ac:dyDescent="0.35">
      <c r="I200" s="44"/>
    </row>
    <row r="201" spans="9:9" ht="12.75" x14ac:dyDescent="0.35">
      <c r="I201" s="44"/>
    </row>
    <row r="202" spans="9:9" ht="12.75" x14ac:dyDescent="0.35">
      <c r="I202" s="44"/>
    </row>
    <row r="203" spans="9:9" ht="12.75" x14ac:dyDescent="0.35">
      <c r="I203" s="44"/>
    </row>
    <row r="204" spans="9:9" ht="12.75" x14ac:dyDescent="0.35">
      <c r="I204" s="44"/>
    </row>
    <row r="205" spans="9:9" ht="12.75" x14ac:dyDescent="0.35">
      <c r="I205" s="44"/>
    </row>
    <row r="206" spans="9:9" ht="12.75" x14ac:dyDescent="0.35">
      <c r="I206" s="44"/>
    </row>
    <row r="207" spans="9:9" ht="12.75" x14ac:dyDescent="0.35">
      <c r="I207" s="44"/>
    </row>
    <row r="208" spans="9:9" ht="12.75" x14ac:dyDescent="0.35">
      <c r="I208" s="44"/>
    </row>
    <row r="209" spans="9:9" ht="12.75" x14ac:dyDescent="0.35">
      <c r="I209" s="44"/>
    </row>
    <row r="210" spans="9:9" ht="12.75" x14ac:dyDescent="0.35">
      <c r="I210" s="44"/>
    </row>
    <row r="211" spans="9:9" ht="12.75" x14ac:dyDescent="0.35">
      <c r="I211" s="44"/>
    </row>
    <row r="212" spans="9:9" ht="12.75" x14ac:dyDescent="0.35">
      <c r="I212" s="44"/>
    </row>
    <row r="213" spans="9:9" ht="12.75" x14ac:dyDescent="0.35">
      <c r="I213" s="44"/>
    </row>
    <row r="214" spans="9:9" ht="12.75" x14ac:dyDescent="0.35">
      <c r="I214" s="44"/>
    </row>
    <row r="215" spans="9:9" ht="12.75" x14ac:dyDescent="0.35">
      <c r="I215" s="44"/>
    </row>
    <row r="216" spans="9:9" ht="12.75" x14ac:dyDescent="0.35">
      <c r="I216" s="44"/>
    </row>
    <row r="217" spans="9:9" ht="12.75" x14ac:dyDescent="0.35">
      <c r="I217" s="44"/>
    </row>
    <row r="218" spans="9:9" ht="12.75" x14ac:dyDescent="0.35">
      <c r="I218" s="44"/>
    </row>
    <row r="219" spans="9:9" ht="12.75" x14ac:dyDescent="0.35">
      <c r="I219" s="44"/>
    </row>
    <row r="220" spans="9:9" ht="12.75" x14ac:dyDescent="0.35">
      <c r="I220" s="44"/>
    </row>
    <row r="221" spans="9:9" ht="12.75" x14ac:dyDescent="0.35">
      <c r="I221" s="44"/>
    </row>
    <row r="222" spans="9:9" ht="12.75" x14ac:dyDescent="0.35">
      <c r="I222" s="44"/>
    </row>
    <row r="223" spans="9:9" ht="12.75" x14ac:dyDescent="0.35">
      <c r="I223" s="44"/>
    </row>
    <row r="224" spans="9:9" ht="12.75" x14ac:dyDescent="0.35">
      <c r="I224" s="44"/>
    </row>
    <row r="225" spans="9:9" ht="12.75" x14ac:dyDescent="0.35">
      <c r="I225" s="44"/>
    </row>
    <row r="226" spans="9:9" ht="12.75" x14ac:dyDescent="0.35">
      <c r="I226" s="44"/>
    </row>
    <row r="227" spans="9:9" ht="12.75" x14ac:dyDescent="0.35">
      <c r="I227" s="44"/>
    </row>
    <row r="228" spans="9:9" ht="12.75" x14ac:dyDescent="0.35">
      <c r="I228" s="44"/>
    </row>
    <row r="229" spans="9:9" ht="12.75" x14ac:dyDescent="0.35">
      <c r="I229" s="44"/>
    </row>
    <row r="230" spans="9:9" ht="12.75" x14ac:dyDescent="0.35">
      <c r="I230" s="44"/>
    </row>
    <row r="231" spans="9:9" ht="12.75" x14ac:dyDescent="0.35">
      <c r="I231" s="44"/>
    </row>
    <row r="232" spans="9:9" ht="12.75" x14ac:dyDescent="0.35">
      <c r="I232" s="44"/>
    </row>
    <row r="233" spans="9:9" ht="12.75" x14ac:dyDescent="0.35">
      <c r="I233" s="44"/>
    </row>
    <row r="234" spans="9:9" ht="12.75" x14ac:dyDescent="0.35">
      <c r="I234" s="44"/>
    </row>
    <row r="235" spans="9:9" ht="12.75" x14ac:dyDescent="0.35">
      <c r="I235" s="44"/>
    </row>
    <row r="236" spans="9:9" ht="12.75" x14ac:dyDescent="0.35">
      <c r="I236" s="44"/>
    </row>
    <row r="237" spans="9:9" ht="12.75" x14ac:dyDescent="0.35">
      <c r="I237" s="44"/>
    </row>
    <row r="238" spans="9:9" ht="12.75" x14ac:dyDescent="0.35">
      <c r="I238" s="44"/>
    </row>
    <row r="239" spans="9:9" ht="12.75" x14ac:dyDescent="0.35">
      <c r="I239" s="44"/>
    </row>
    <row r="240" spans="9:9" ht="12.75" x14ac:dyDescent="0.35">
      <c r="I240" s="44"/>
    </row>
    <row r="241" spans="9:9" ht="12.75" x14ac:dyDescent="0.35">
      <c r="I241" s="44"/>
    </row>
    <row r="242" spans="9:9" ht="12.75" x14ac:dyDescent="0.35">
      <c r="I242" s="44"/>
    </row>
    <row r="243" spans="9:9" ht="12.75" x14ac:dyDescent="0.35">
      <c r="I243" s="44"/>
    </row>
    <row r="244" spans="9:9" ht="12.75" x14ac:dyDescent="0.35">
      <c r="I244" s="44"/>
    </row>
    <row r="245" spans="9:9" ht="12.75" x14ac:dyDescent="0.35">
      <c r="I245" s="44"/>
    </row>
    <row r="246" spans="9:9" ht="12.75" x14ac:dyDescent="0.35">
      <c r="I246" s="44"/>
    </row>
    <row r="247" spans="9:9" ht="12.75" x14ac:dyDescent="0.35">
      <c r="I247" s="44"/>
    </row>
    <row r="248" spans="9:9" ht="12.75" x14ac:dyDescent="0.35">
      <c r="I248" s="44"/>
    </row>
    <row r="249" spans="9:9" ht="12.75" x14ac:dyDescent="0.35">
      <c r="I249" s="44"/>
    </row>
    <row r="250" spans="9:9" ht="12.75" x14ac:dyDescent="0.35">
      <c r="I250" s="44"/>
    </row>
    <row r="251" spans="9:9" ht="12.75" x14ac:dyDescent="0.35">
      <c r="I251" s="44"/>
    </row>
    <row r="252" spans="9:9" ht="12.75" x14ac:dyDescent="0.35">
      <c r="I252" s="44"/>
    </row>
    <row r="253" spans="9:9" ht="12.75" x14ac:dyDescent="0.35">
      <c r="I253" s="44"/>
    </row>
    <row r="254" spans="9:9" ht="12.75" x14ac:dyDescent="0.35">
      <c r="I254" s="44"/>
    </row>
    <row r="255" spans="9:9" ht="12.75" x14ac:dyDescent="0.35">
      <c r="I255" s="44"/>
    </row>
    <row r="256" spans="9:9" ht="12.75" x14ac:dyDescent="0.35">
      <c r="I256" s="44"/>
    </row>
    <row r="257" spans="9:9" ht="12.75" x14ac:dyDescent="0.35">
      <c r="I257" s="44"/>
    </row>
    <row r="258" spans="9:9" ht="12.75" x14ac:dyDescent="0.35">
      <c r="I258" s="44"/>
    </row>
    <row r="259" spans="9:9" ht="12.75" x14ac:dyDescent="0.35">
      <c r="I259" s="44"/>
    </row>
    <row r="260" spans="9:9" ht="12.75" x14ac:dyDescent="0.35">
      <c r="I260" s="44"/>
    </row>
    <row r="261" spans="9:9" ht="12.75" x14ac:dyDescent="0.35">
      <c r="I261" s="44"/>
    </row>
    <row r="262" spans="9:9" ht="12.75" x14ac:dyDescent="0.35">
      <c r="I262" s="44"/>
    </row>
    <row r="263" spans="9:9" ht="12.75" x14ac:dyDescent="0.35">
      <c r="I263" s="44"/>
    </row>
    <row r="264" spans="9:9" ht="12.75" x14ac:dyDescent="0.35">
      <c r="I264" s="44"/>
    </row>
    <row r="265" spans="9:9" ht="12.75" x14ac:dyDescent="0.35">
      <c r="I265" s="44"/>
    </row>
    <row r="266" spans="9:9" ht="12.75" x14ac:dyDescent="0.35">
      <c r="I266" s="44"/>
    </row>
    <row r="267" spans="9:9" ht="12.75" x14ac:dyDescent="0.35">
      <c r="I267" s="44"/>
    </row>
    <row r="268" spans="9:9" ht="12.75" x14ac:dyDescent="0.35">
      <c r="I268" s="44"/>
    </row>
    <row r="269" spans="9:9" ht="12.75" x14ac:dyDescent="0.35">
      <c r="I269" s="44"/>
    </row>
    <row r="270" spans="9:9" ht="12.75" x14ac:dyDescent="0.35">
      <c r="I270" s="44"/>
    </row>
    <row r="271" spans="9:9" ht="12.75" x14ac:dyDescent="0.35">
      <c r="I271" s="44"/>
    </row>
    <row r="272" spans="9:9" ht="12.75" x14ac:dyDescent="0.35">
      <c r="I272" s="44"/>
    </row>
    <row r="273" spans="9:9" ht="12.75" x14ac:dyDescent="0.35">
      <c r="I273" s="44"/>
    </row>
    <row r="274" spans="9:9" ht="12.75" x14ac:dyDescent="0.35">
      <c r="I274" s="44"/>
    </row>
    <row r="275" spans="9:9" ht="12.75" x14ac:dyDescent="0.35">
      <c r="I275" s="44"/>
    </row>
    <row r="276" spans="9:9" ht="12.75" x14ac:dyDescent="0.35">
      <c r="I276" s="44"/>
    </row>
    <row r="277" spans="9:9" ht="12.75" x14ac:dyDescent="0.35">
      <c r="I277" s="44"/>
    </row>
    <row r="278" spans="9:9" ht="12.75" x14ac:dyDescent="0.35">
      <c r="I278" s="44"/>
    </row>
    <row r="279" spans="9:9" ht="12.75" x14ac:dyDescent="0.35">
      <c r="I279" s="44"/>
    </row>
    <row r="280" spans="9:9" ht="12.75" x14ac:dyDescent="0.35">
      <c r="I280" s="44"/>
    </row>
    <row r="281" spans="9:9" ht="12.75" x14ac:dyDescent="0.35">
      <c r="I281" s="44"/>
    </row>
    <row r="282" spans="9:9" ht="12.75" x14ac:dyDescent="0.35">
      <c r="I282" s="44"/>
    </row>
    <row r="283" spans="9:9" ht="12.75" x14ac:dyDescent="0.35">
      <c r="I283" s="44"/>
    </row>
    <row r="284" spans="9:9" ht="12.75" x14ac:dyDescent="0.35">
      <c r="I284" s="44"/>
    </row>
    <row r="285" spans="9:9" ht="12.75" x14ac:dyDescent="0.35">
      <c r="I285" s="44"/>
    </row>
    <row r="286" spans="9:9" ht="12.75" x14ac:dyDescent="0.35">
      <c r="I286" s="44"/>
    </row>
    <row r="287" spans="9:9" ht="12.75" x14ac:dyDescent="0.35">
      <c r="I287" s="44"/>
    </row>
    <row r="288" spans="9:9" ht="12.75" x14ac:dyDescent="0.35">
      <c r="I288" s="44"/>
    </row>
    <row r="289" spans="9:9" ht="12.75" x14ac:dyDescent="0.35">
      <c r="I289" s="44"/>
    </row>
    <row r="290" spans="9:9" ht="12.75" x14ac:dyDescent="0.35">
      <c r="I290" s="44"/>
    </row>
    <row r="291" spans="9:9" ht="12.75" x14ac:dyDescent="0.35">
      <c r="I291" s="44"/>
    </row>
    <row r="292" spans="9:9" ht="12.75" x14ac:dyDescent="0.35">
      <c r="I292" s="44"/>
    </row>
    <row r="293" spans="9:9" ht="12.75" x14ac:dyDescent="0.35">
      <c r="I293" s="44"/>
    </row>
    <row r="294" spans="9:9" ht="12.75" x14ac:dyDescent="0.35">
      <c r="I294" s="44"/>
    </row>
    <row r="295" spans="9:9" ht="12.75" x14ac:dyDescent="0.35">
      <c r="I295" s="44"/>
    </row>
    <row r="296" spans="9:9" ht="12.75" x14ac:dyDescent="0.35">
      <c r="I296" s="44"/>
    </row>
    <row r="297" spans="9:9" ht="12.75" x14ac:dyDescent="0.35">
      <c r="I297" s="44"/>
    </row>
    <row r="298" spans="9:9" ht="12.75" x14ac:dyDescent="0.35">
      <c r="I298" s="44"/>
    </row>
    <row r="299" spans="9:9" ht="12.75" x14ac:dyDescent="0.35">
      <c r="I299" s="44"/>
    </row>
    <row r="300" spans="9:9" ht="12.75" x14ac:dyDescent="0.35">
      <c r="I300" s="44"/>
    </row>
    <row r="301" spans="9:9" ht="12.75" x14ac:dyDescent="0.35">
      <c r="I301" s="44"/>
    </row>
    <row r="302" spans="9:9" ht="12.75" x14ac:dyDescent="0.35">
      <c r="I302" s="44"/>
    </row>
    <row r="303" spans="9:9" ht="12.75" x14ac:dyDescent="0.35">
      <c r="I303" s="44"/>
    </row>
    <row r="304" spans="9:9" ht="12.75" x14ac:dyDescent="0.35">
      <c r="I304" s="44"/>
    </row>
    <row r="305" spans="9:9" ht="12.75" x14ac:dyDescent="0.35">
      <c r="I305" s="44"/>
    </row>
    <row r="306" spans="9:9" ht="12.75" x14ac:dyDescent="0.35">
      <c r="I306" s="44"/>
    </row>
    <row r="307" spans="9:9" ht="12.75" x14ac:dyDescent="0.35">
      <c r="I307" s="44"/>
    </row>
    <row r="308" spans="9:9" ht="12.75" x14ac:dyDescent="0.35">
      <c r="I308" s="44"/>
    </row>
    <row r="309" spans="9:9" ht="12.75" x14ac:dyDescent="0.35">
      <c r="I309" s="44"/>
    </row>
    <row r="310" spans="9:9" ht="12.75" x14ac:dyDescent="0.35">
      <c r="I310" s="44"/>
    </row>
    <row r="311" spans="9:9" ht="12.75" x14ac:dyDescent="0.35">
      <c r="I311" s="44"/>
    </row>
    <row r="312" spans="9:9" ht="12.75" x14ac:dyDescent="0.35">
      <c r="I312" s="44"/>
    </row>
    <row r="313" spans="9:9" ht="12.75" x14ac:dyDescent="0.35">
      <c r="I313" s="44"/>
    </row>
    <row r="314" spans="9:9" ht="12.75" x14ac:dyDescent="0.35">
      <c r="I314" s="44"/>
    </row>
    <row r="315" spans="9:9" ht="12.75" x14ac:dyDescent="0.35">
      <c r="I315" s="44"/>
    </row>
    <row r="316" spans="9:9" ht="12.75" x14ac:dyDescent="0.35">
      <c r="I316" s="44"/>
    </row>
    <row r="317" spans="9:9" ht="12.75" x14ac:dyDescent="0.35">
      <c r="I317" s="44"/>
    </row>
    <row r="318" spans="9:9" ht="12.75" x14ac:dyDescent="0.35">
      <c r="I318" s="44"/>
    </row>
    <row r="319" spans="9:9" ht="12.75" x14ac:dyDescent="0.35">
      <c r="I319" s="44"/>
    </row>
    <row r="320" spans="9:9" ht="12.75" x14ac:dyDescent="0.35">
      <c r="I320" s="44"/>
    </row>
    <row r="321" spans="9:9" ht="12.75" x14ac:dyDescent="0.35">
      <c r="I321" s="44"/>
    </row>
    <row r="322" spans="9:9" ht="12.75" x14ac:dyDescent="0.35">
      <c r="I322" s="44"/>
    </row>
    <row r="323" spans="9:9" ht="12.75" x14ac:dyDescent="0.35">
      <c r="I323" s="44"/>
    </row>
    <row r="324" spans="9:9" ht="12.75" x14ac:dyDescent="0.35">
      <c r="I324" s="44"/>
    </row>
    <row r="325" spans="9:9" ht="12.75" x14ac:dyDescent="0.35">
      <c r="I325" s="44"/>
    </row>
    <row r="326" spans="9:9" ht="12.75" x14ac:dyDescent="0.35">
      <c r="I326" s="44"/>
    </row>
    <row r="327" spans="9:9" ht="12.75" x14ac:dyDescent="0.35">
      <c r="I327" s="44"/>
    </row>
    <row r="328" spans="9:9" ht="12.75" x14ac:dyDescent="0.35">
      <c r="I328" s="44"/>
    </row>
    <row r="329" spans="9:9" ht="12.75" x14ac:dyDescent="0.35">
      <c r="I329" s="44"/>
    </row>
    <row r="330" spans="9:9" ht="12.75" x14ac:dyDescent="0.35">
      <c r="I330" s="44"/>
    </row>
    <row r="331" spans="9:9" ht="12.75" x14ac:dyDescent="0.35">
      <c r="I331" s="44"/>
    </row>
    <row r="332" spans="9:9" ht="12.75" x14ac:dyDescent="0.35">
      <c r="I332" s="44"/>
    </row>
    <row r="333" spans="9:9" ht="12.75" x14ac:dyDescent="0.35">
      <c r="I333" s="44"/>
    </row>
    <row r="334" spans="9:9" ht="12.75" x14ac:dyDescent="0.35">
      <c r="I334" s="44"/>
    </row>
    <row r="335" spans="9:9" ht="12.75" x14ac:dyDescent="0.35">
      <c r="I335" s="44"/>
    </row>
    <row r="336" spans="9:9" ht="12.75" x14ac:dyDescent="0.35">
      <c r="I336" s="44"/>
    </row>
    <row r="337" spans="9:9" ht="12.75" x14ac:dyDescent="0.35">
      <c r="I337" s="44"/>
    </row>
    <row r="338" spans="9:9" ht="12.75" x14ac:dyDescent="0.35">
      <c r="I338" s="44"/>
    </row>
    <row r="339" spans="9:9" ht="12.75" x14ac:dyDescent="0.35">
      <c r="I339" s="44"/>
    </row>
    <row r="340" spans="9:9" ht="12.75" x14ac:dyDescent="0.35">
      <c r="I340" s="44"/>
    </row>
    <row r="341" spans="9:9" ht="12.75" x14ac:dyDescent="0.35">
      <c r="I341" s="44"/>
    </row>
    <row r="342" spans="9:9" ht="12.75" x14ac:dyDescent="0.35">
      <c r="I342" s="44"/>
    </row>
    <row r="343" spans="9:9" ht="12.75" x14ac:dyDescent="0.35">
      <c r="I343" s="44"/>
    </row>
    <row r="344" spans="9:9" ht="12.75" x14ac:dyDescent="0.35">
      <c r="I344" s="44"/>
    </row>
    <row r="345" spans="9:9" ht="12.75" x14ac:dyDescent="0.35">
      <c r="I345" s="44"/>
    </row>
    <row r="346" spans="9:9" ht="12.75" x14ac:dyDescent="0.35">
      <c r="I346" s="44"/>
    </row>
    <row r="347" spans="9:9" ht="12.75" x14ac:dyDescent="0.35">
      <c r="I347" s="44"/>
    </row>
    <row r="348" spans="9:9" ht="12.75" x14ac:dyDescent="0.35">
      <c r="I348" s="44"/>
    </row>
    <row r="349" spans="9:9" ht="12.75" x14ac:dyDescent="0.35">
      <c r="I349" s="44"/>
    </row>
    <row r="350" spans="9:9" ht="12.75" x14ac:dyDescent="0.35">
      <c r="I350" s="44"/>
    </row>
    <row r="351" spans="9:9" ht="12.75" x14ac:dyDescent="0.35">
      <c r="I351" s="44"/>
    </row>
    <row r="352" spans="9:9" ht="12.75" x14ac:dyDescent="0.35">
      <c r="I352" s="44"/>
    </row>
    <row r="353" spans="9:9" ht="12.75" x14ac:dyDescent="0.35">
      <c r="I353" s="44"/>
    </row>
    <row r="354" spans="9:9" ht="12.75" x14ac:dyDescent="0.35">
      <c r="I354" s="44"/>
    </row>
    <row r="355" spans="9:9" ht="12.75" x14ac:dyDescent="0.35">
      <c r="I355" s="44"/>
    </row>
    <row r="356" spans="9:9" ht="12.75" x14ac:dyDescent="0.35">
      <c r="I356" s="44"/>
    </row>
    <row r="357" spans="9:9" ht="12.75" x14ac:dyDescent="0.35">
      <c r="I357" s="44"/>
    </row>
    <row r="358" spans="9:9" ht="12.75" x14ac:dyDescent="0.35">
      <c r="I358" s="44"/>
    </row>
    <row r="359" spans="9:9" ht="12.75" x14ac:dyDescent="0.35">
      <c r="I359" s="44"/>
    </row>
    <row r="360" spans="9:9" ht="12.75" x14ac:dyDescent="0.35">
      <c r="I360" s="44"/>
    </row>
    <row r="361" spans="9:9" ht="12.75" x14ac:dyDescent="0.35">
      <c r="I361" s="44"/>
    </row>
    <row r="362" spans="9:9" ht="12.75" x14ac:dyDescent="0.35">
      <c r="I362" s="44"/>
    </row>
    <row r="363" spans="9:9" ht="12.75" x14ac:dyDescent="0.35">
      <c r="I363" s="44"/>
    </row>
    <row r="364" spans="9:9" ht="12.75" x14ac:dyDescent="0.35">
      <c r="I364" s="44"/>
    </row>
    <row r="365" spans="9:9" ht="12.75" x14ac:dyDescent="0.35">
      <c r="I365" s="44"/>
    </row>
    <row r="366" spans="9:9" ht="12.75" x14ac:dyDescent="0.35">
      <c r="I366" s="44"/>
    </row>
    <row r="367" spans="9:9" ht="12.75" x14ac:dyDescent="0.35">
      <c r="I367" s="44"/>
    </row>
    <row r="368" spans="9:9" ht="12.75" x14ac:dyDescent="0.35">
      <c r="I368" s="44"/>
    </row>
    <row r="369" spans="9:9" ht="12.75" x14ac:dyDescent="0.35">
      <c r="I369" s="44"/>
    </row>
    <row r="370" spans="9:9" ht="12.75" x14ac:dyDescent="0.35">
      <c r="I370" s="44"/>
    </row>
    <row r="371" spans="9:9" ht="12.75" x14ac:dyDescent="0.35">
      <c r="I371" s="44"/>
    </row>
    <row r="372" spans="9:9" ht="12.75" x14ac:dyDescent="0.35">
      <c r="I372" s="44"/>
    </row>
    <row r="373" spans="9:9" ht="12.75" x14ac:dyDescent="0.35">
      <c r="I373" s="44"/>
    </row>
    <row r="374" spans="9:9" ht="12.75" x14ac:dyDescent="0.35">
      <c r="I374" s="44"/>
    </row>
    <row r="375" spans="9:9" ht="12.75" x14ac:dyDescent="0.35">
      <c r="I375" s="44"/>
    </row>
    <row r="376" spans="9:9" ht="12.75" x14ac:dyDescent="0.35">
      <c r="I376" s="44"/>
    </row>
    <row r="377" spans="9:9" ht="12.75" x14ac:dyDescent="0.35">
      <c r="I377" s="44"/>
    </row>
    <row r="378" spans="9:9" ht="12.75" x14ac:dyDescent="0.35">
      <c r="I378" s="44"/>
    </row>
    <row r="379" spans="9:9" ht="12.75" x14ac:dyDescent="0.35">
      <c r="I379" s="44"/>
    </row>
    <row r="380" spans="9:9" ht="12.75" x14ac:dyDescent="0.35">
      <c r="I380" s="44"/>
    </row>
    <row r="381" spans="9:9" ht="12.75" x14ac:dyDescent="0.35">
      <c r="I381" s="44"/>
    </row>
    <row r="382" spans="9:9" ht="12.75" x14ac:dyDescent="0.35">
      <c r="I382" s="44"/>
    </row>
    <row r="383" spans="9:9" ht="12.75" x14ac:dyDescent="0.35">
      <c r="I383" s="44"/>
    </row>
    <row r="384" spans="9:9" ht="12.75" x14ac:dyDescent="0.35">
      <c r="I384" s="44"/>
    </row>
    <row r="385" spans="9:9" ht="12.75" x14ac:dyDescent="0.35">
      <c r="I385" s="44"/>
    </row>
    <row r="386" spans="9:9" ht="12.75" x14ac:dyDescent="0.35">
      <c r="I386" s="44"/>
    </row>
    <row r="387" spans="9:9" ht="12.75" x14ac:dyDescent="0.35">
      <c r="I387" s="44"/>
    </row>
    <row r="388" spans="9:9" ht="12.75" x14ac:dyDescent="0.35">
      <c r="I388" s="44"/>
    </row>
    <row r="389" spans="9:9" ht="12.75" x14ac:dyDescent="0.35">
      <c r="I389" s="44"/>
    </row>
    <row r="390" spans="9:9" ht="12.75" x14ac:dyDescent="0.35">
      <c r="I390" s="44"/>
    </row>
    <row r="391" spans="9:9" ht="12.75" x14ac:dyDescent="0.35">
      <c r="I391" s="44"/>
    </row>
    <row r="392" spans="9:9" ht="12.75" x14ac:dyDescent="0.35">
      <c r="I392" s="44"/>
    </row>
    <row r="393" spans="9:9" ht="12.75" x14ac:dyDescent="0.35">
      <c r="I393" s="44"/>
    </row>
    <row r="394" spans="9:9" ht="12.75" x14ac:dyDescent="0.35">
      <c r="I394" s="44"/>
    </row>
    <row r="395" spans="9:9" ht="12.75" x14ac:dyDescent="0.35">
      <c r="I395" s="44"/>
    </row>
    <row r="396" spans="9:9" ht="12.75" x14ac:dyDescent="0.35">
      <c r="I396" s="44"/>
    </row>
    <row r="397" spans="9:9" ht="12.75" x14ac:dyDescent="0.35">
      <c r="I397" s="44"/>
    </row>
    <row r="398" spans="9:9" ht="12.75" x14ac:dyDescent="0.35">
      <c r="I398" s="44"/>
    </row>
    <row r="399" spans="9:9" ht="12.75" x14ac:dyDescent="0.35">
      <c r="I399" s="44"/>
    </row>
    <row r="400" spans="9:9" ht="12.75" x14ac:dyDescent="0.35">
      <c r="I400" s="44"/>
    </row>
    <row r="401" spans="9:9" ht="12.75" x14ac:dyDescent="0.35">
      <c r="I401" s="44"/>
    </row>
    <row r="402" spans="9:9" ht="12.75" x14ac:dyDescent="0.35">
      <c r="I402" s="44"/>
    </row>
    <row r="403" spans="9:9" ht="12.75" x14ac:dyDescent="0.35">
      <c r="I403" s="44"/>
    </row>
    <row r="404" spans="9:9" ht="12.75" x14ac:dyDescent="0.35">
      <c r="I404" s="44"/>
    </row>
    <row r="405" spans="9:9" ht="12.75" x14ac:dyDescent="0.35">
      <c r="I405" s="44"/>
    </row>
    <row r="406" spans="9:9" ht="12.75" x14ac:dyDescent="0.35">
      <c r="I406" s="44"/>
    </row>
    <row r="407" spans="9:9" ht="12.75" x14ac:dyDescent="0.35">
      <c r="I407" s="44"/>
    </row>
    <row r="408" spans="9:9" ht="12.75" x14ac:dyDescent="0.35">
      <c r="I408" s="44"/>
    </row>
    <row r="409" spans="9:9" ht="12.75" x14ac:dyDescent="0.35">
      <c r="I409" s="44"/>
    </row>
    <row r="410" spans="9:9" ht="12.75" x14ac:dyDescent="0.35">
      <c r="I410" s="44"/>
    </row>
    <row r="411" spans="9:9" ht="12.75" x14ac:dyDescent="0.35">
      <c r="I411" s="44"/>
    </row>
    <row r="412" spans="9:9" ht="12.75" x14ac:dyDescent="0.35">
      <c r="I412" s="44"/>
    </row>
    <row r="413" spans="9:9" ht="12.75" x14ac:dyDescent="0.35">
      <c r="I413" s="44"/>
    </row>
    <row r="414" spans="9:9" ht="12.75" x14ac:dyDescent="0.35">
      <c r="I414" s="44"/>
    </row>
    <row r="415" spans="9:9" ht="12.75" x14ac:dyDescent="0.35">
      <c r="I415" s="44"/>
    </row>
    <row r="416" spans="9:9" ht="12.75" x14ac:dyDescent="0.35">
      <c r="I416" s="44"/>
    </row>
    <row r="417" spans="9:9" ht="12.75" x14ac:dyDescent="0.35">
      <c r="I417" s="44"/>
    </row>
    <row r="418" spans="9:9" ht="12.75" x14ac:dyDescent="0.35">
      <c r="I418" s="44"/>
    </row>
    <row r="419" spans="9:9" ht="12.75" x14ac:dyDescent="0.35">
      <c r="I419" s="44"/>
    </row>
    <row r="420" spans="9:9" ht="12.75" x14ac:dyDescent="0.35">
      <c r="I420" s="44"/>
    </row>
    <row r="421" spans="9:9" ht="12.75" x14ac:dyDescent="0.35">
      <c r="I421" s="44"/>
    </row>
    <row r="422" spans="9:9" ht="12.75" x14ac:dyDescent="0.35">
      <c r="I422" s="44"/>
    </row>
    <row r="423" spans="9:9" ht="12.75" x14ac:dyDescent="0.35">
      <c r="I423" s="44"/>
    </row>
    <row r="424" spans="9:9" ht="12.75" x14ac:dyDescent="0.35">
      <c r="I424" s="44"/>
    </row>
    <row r="425" spans="9:9" ht="12.75" x14ac:dyDescent="0.35">
      <c r="I425" s="44"/>
    </row>
    <row r="426" spans="9:9" ht="12.75" x14ac:dyDescent="0.35">
      <c r="I426" s="44"/>
    </row>
    <row r="427" spans="9:9" ht="12.75" x14ac:dyDescent="0.35">
      <c r="I427" s="44"/>
    </row>
    <row r="428" spans="9:9" ht="12.75" x14ac:dyDescent="0.35">
      <c r="I428" s="44"/>
    </row>
    <row r="429" spans="9:9" ht="12.75" x14ac:dyDescent="0.35">
      <c r="I429" s="44"/>
    </row>
    <row r="430" spans="9:9" ht="12.75" x14ac:dyDescent="0.35">
      <c r="I430" s="44"/>
    </row>
    <row r="431" spans="9:9" ht="12.75" x14ac:dyDescent="0.35">
      <c r="I431" s="44"/>
    </row>
    <row r="432" spans="9:9" ht="12.75" x14ac:dyDescent="0.35">
      <c r="I432" s="44"/>
    </row>
    <row r="433" spans="9:9" ht="12.75" x14ac:dyDescent="0.35">
      <c r="I433" s="44"/>
    </row>
    <row r="434" spans="9:9" ht="12.75" x14ac:dyDescent="0.35">
      <c r="I434" s="44"/>
    </row>
    <row r="435" spans="9:9" ht="12.75" x14ac:dyDescent="0.35">
      <c r="I435" s="44"/>
    </row>
    <row r="436" spans="9:9" ht="12.75" x14ac:dyDescent="0.35">
      <c r="I436" s="44"/>
    </row>
    <row r="437" spans="9:9" ht="12.75" x14ac:dyDescent="0.35">
      <c r="I437" s="44"/>
    </row>
    <row r="438" spans="9:9" ht="12.75" x14ac:dyDescent="0.35">
      <c r="I438" s="44"/>
    </row>
    <row r="439" spans="9:9" ht="12.75" x14ac:dyDescent="0.35">
      <c r="I439" s="44"/>
    </row>
    <row r="440" spans="9:9" ht="12.75" x14ac:dyDescent="0.35">
      <c r="I440" s="44"/>
    </row>
    <row r="441" spans="9:9" ht="12.75" x14ac:dyDescent="0.35">
      <c r="I441" s="44"/>
    </row>
    <row r="442" spans="9:9" ht="12.75" x14ac:dyDescent="0.35">
      <c r="I442" s="44"/>
    </row>
    <row r="443" spans="9:9" ht="12.75" x14ac:dyDescent="0.35">
      <c r="I443" s="44"/>
    </row>
    <row r="444" spans="9:9" ht="12.75" x14ac:dyDescent="0.35">
      <c r="I444" s="44"/>
    </row>
    <row r="445" spans="9:9" ht="12.75" x14ac:dyDescent="0.35">
      <c r="I445" s="44"/>
    </row>
    <row r="446" spans="9:9" ht="12.75" x14ac:dyDescent="0.35">
      <c r="I446" s="44"/>
    </row>
    <row r="447" spans="9:9" ht="12.75" x14ac:dyDescent="0.35">
      <c r="I447" s="44"/>
    </row>
    <row r="448" spans="9:9" ht="12.75" x14ac:dyDescent="0.35">
      <c r="I448" s="44"/>
    </row>
    <row r="449" spans="9:9" ht="12.75" x14ac:dyDescent="0.35">
      <c r="I449" s="44"/>
    </row>
    <row r="450" spans="9:9" ht="12.75" x14ac:dyDescent="0.35">
      <c r="I450" s="44"/>
    </row>
    <row r="451" spans="9:9" ht="12.75" x14ac:dyDescent="0.35">
      <c r="I451" s="44"/>
    </row>
    <row r="452" spans="9:9" ht="12.75" x14ac:dyDescent="0.35">
      <c r="I452" s="44"/>
    </row>
    <row r="453" spans="9:9" ht="12.75" x14ac:dyDescent="0.35">
      <c r="I453" s="44"/>
    </row>
    <row r="454" spans="9:9" ht="12.75" x14ac:dyDescent="0.35">
      <c r="I454" s="44"/>
    </row>
    <row r="455" spans="9:9" ht="12.75" x14ac:dyDescent="0.35">
      <c r="I455" s="44"/>
    </row>
    <row r="456" spans="9:9" ht="12.75" x14ac:dyDescent="0.35">
      <c r="I456" s="44"/>
    </row>
    <row r="457" spans="9:9" ht="12.75" x14ac:dyDescent="0.35">
      <c r="I457" s="44"/>
    </row>
    <row r="458" spans="9:9" ht="12.75" x14ac:dyDescent="0.35">
      <c r="I458" s="44"/>
    </row>
    <row r="459" spans="9:9" ht="12.75" x14ac:dyDescent="0.35">
      <c r="I459" s="44"/>
    </row>
    <row r="460" spans="9:9" ht="12.75" x14ac:dyDescent="0.35">
      <c r="I460" s="44"/>
    </row>
    <row r="461" spans="9:9" ht="12.75" x14ac:dyDescent="0.35">
      <c r="I461" s="44"/>
    </row>
    <row r="462" spans="9:9" ht="12.75" x14ac:dyDescent="0.35">
      <c r="I462" s="44"/>
    </row>
    <row r="463" spans="9:9" ht="12.75" x14ac:dyDescent="0.35">
      <c r="I463" s="44"/>
    </row>
    <row r="464" spans="9:9" ht="12.75" x14ac:dyDescent="0.35">
      <c r="I464" s="44"/>
    </row>
    <row r="465" spans="9:9" ht="12.75" x14ac:dyDescent="0.35">
      <c r="I465" s="44"/>
    </row>
    <row r="466" spans="9:9" ht="12.75" x14ac:dyDescent="0.35">
      <c r="I466" s="44"/>
    </row>
    <row r="467" spans="9:9" ht="12.75" x14ac:dyDescent="0.35">
      <c r="I467" s="44"/>
    </row>
    <row r="468" spans="9:9" ht="12.75" x14ac:dyDescent="0.35">
      <c r="I468" s="44"/>
    </row>
    <row r="469" spans="9:9" ht="12.75" x14ac:dyDescent="0.35">
      <c r="I469" s="44"/>
    </row>
    <row r="470" spans="9:9" ht="12.75" x14ac:dyDescent="0.35">
      <c r="I470" s="44"/>
    </row>
    <row r="471" spans="9:9" ht="12.75" x14ac:dyDescent="0.35">
      <c r="I471" s="44"/>
    </row>
    <row r="472" spans="9:9" ht="12.75" x14ac:dyDescent="0.35">
      <c r="I472" s="44"/>
    </row>
    <row r="473" spans="9:9" ht="12.75" x14ac:dyDescent="0.35">
      <c r="I473" s="44"/>
    </row>
    <row r="474" spans="9:9" ht="12.75" x14ac:dyDescent="0.35">
      <c r="I474" s="44"/>
    </row>
    <row r="475" spans="9:9" ht="12.75" x14ac:dyDescent="0.35">
      <c r="I475" s="44"/>
    </row>
    <row r="476" spans="9:9" ht="12.75" x14ac:dyDescent="0.35">
      <c r="I476" s="44"/>
    </row>
    <row r="477" spans="9:9" ht="12.75" x14ac:dyDescent="0.35">
      <c r="I477" s="44"/>
    </row>
    <row r="478" spans="9:9" ht="12.75" x14ac:dyDescent="0.35">
      <c r="I478" s="44"/>
    </row>
    <row r="479" spans="9:9" ht="12.75" x14ac:dyDescent="0.35">
      <c r="I479" s="44"/>
    </row>
    <row r="480" spans="9:9" ht="12.75" x14ac:dyDescent="0.35">
      <c r="I480" s="44"/>
    </row>
    <row r="481" spans="9:9" ht="12.75" x14ac:dyDescent="0.35">
      <c r="I481" s="44"/>
    </row>
    <row r="482" spans="9:9" ht="12.75" x14ac:dyDescent="0.35">
      <c r="I482" s="44"/>
    </row>
    <row r="483" spans="9:9" ht="12.75" x14ac:dyDescent="0.35">
      <c r="I483" s="44"/>
    </row>
    <row r="484" spans="9:9" ht="12.75" x14ac:dyDescent="0.35">
      <c r="I484" s="44"/>
    </row>
    <row r="485" spans="9:9" ht="12.75" x14ac:dyDescent="0.35">
      <c r="I485" s="44"/>
    </row>
    <row r="486" spans="9:9" ht="12.75" x14ac:dyDescent="0.35">
      <c r="I486" s="44"/>
    </row>
    <row r="487" spans="9:9" ht="12.75" x14ac:dyDescent="0.35">
      <c r="I487" s="44"/>
    </row>
    <row r="488" spans="9:9" ht="12.75" x14ac:dyDescent="0.35">
      <c r="I488" s="44"/>
    </row>
    <row r="489" spans="9:9" ht="12.75" x14ac:dyDescent="0.35">
      <c r="I489" s="44"/>
    </row>
    <row r="490" spans="9:9" ht="12.75" x14ac:dyDescent="0.35">
      <c r="I490" s="44"/>
    </row>
    <row r="491" spans="9:9" ht="12.75" x14ac:dyDescent="0.35">
      <c r="I491" s="44"/>
    </row>
    <row r="492" spans="9:9" ht="12.75" x14ac:dyDescent="0.35">
      <c r="I492" s="44"/>
    </row>
    <row r="493" spans="9:9" ht="12.75" x14ac:dyDescent="0.35">
      <c r="I493" s="44"/>
    </row>
    <row r="494" spans="9:9" ht="12.75" x14ac:dyDescent="0.35">
      <c r="I494" s="44"/>
    </row>
    <row r="495" spans="9:9" ht="12.75" x14ac:dyDescent="0.35">
      <c r="I495" s="44"/>
    </row>
    <row r="496" spans="9:9" ht="12.75" x14ac:dyDescent="0.35">
      <c r="I496" s="44"/>
    </row>
    <row r="497" spans="9:9" ht="12.75" x14ac:dyDescent="0.35">
      <c r="I497" s="44"/>
    </row>
    <row r="498" spans="9:9" ht="12.75" x14ac:dyDescent="0.35">
      <c r="I498" s="44"/>
    </row>
    <row r="499" spans="9:9" ht="12.75" x14ac:dyDescent="0.35">
      <c r="I499" s="44"/>
    </row>
    <row r="500" spans="9:9" ht="12.75" x14ac:dyDescent="0.35">
      <c r="I500" s="44"/>
    </row>
    <row r="501" spans="9:9" ht="12.75" x14ac:dyDescent="0.35">
      <c r="I501" s="44"/>
    </row>
    <row r="502" spans="9:9" ht="12.75" x14ac:dyDescent="0.35">
      <c r="I502" s="44"/>
    </row>
    <row r="503" spans="9:9" ht="12.75" x14ac:dyDescent="0.35">
      <c r="I503" s="44"/>
    </row>
    <row r="504" spans="9:9" ht="12.75" x14ac:dyDescent="0.35">
      <c r="I504" s="44"/>
    </row>
    <row r="505" spans="9:9" ht="12.75" x14ac:dyDescent="0.35">
      <c r="I505" s="44"/>
    </row>
    <row r="506" spans="9:9" ht="12.75" x14ac:dyDescent="0.35">
      <c r="I506" s="44"/>
    </row>
    <row r="507" spans="9:9" ht="12.75" x14ac:dyDescent="0.35">
      <c r="I507" s="44"/>
    </row>
    <row r="508" spans="9:9" ht="12.75" x14ac:dyDescent="0.35">
      <c r="I508" s="44"/>
    </row>
    <row r="509" spans="9:9" ht="12.75" x14ac:dyDescent="0.35">
      <c r="I509" s="44"/>
    </row>
    <row r="510" spans="9:9" ht="12.75" x14ac:dyDescent="0.35">
      <c r="I510" s="44"/>
    </row>
    <row r="511" spans="9:9" ht="12.75" x14ac:dyDescent="0.35">
      <c r="I511" s="44"/>
    </row>
    <row r="512" spans="9:9" ht="12.75" x14ac:dyDescent="0.35">
      <c r="I512" s="44"/>
    </row>
    <row r="513" spans="9:9" ht="12.75" x14ac:dyDescent="0.35">
      <c r="I513" s="44"/>
    </row>
    <row r="514" spans="9:9" ht="12.75" x14ac:dyDescent="0.35">
      <c r="I514" s="44"/>
    </row>
    <row r="515" spans="9:9" ht="12.75" x14ac:dyDescent="0.35">
      <c r="I515" s="44"/>
    </row>
    <row r="516" spans="9:9" ht="12.75" x14ac:dyDescent="0.35">
      <c r="I516" s="44"/>
    </row>
    <row r="517" spans="9:9" ht="12.75" x14ac:dyDescent="0.35">
      <c r="I517" s="44"/>
    </row>
    <row r="518" spans="9:9" ht="12.75" x14ac:dyDescent="0.35">
      <c r="I518" s="44"/>
    </row>
    <row r="519" spans="9:9" ht="12.75" x14ac:dyDescent="0.35">
      <c r="I519" s="44"/>
    </row>
    <row r="520" spans="9:9" ht="12.75" x14ac:dyDescent="0.35">
      <c r="I520" s="44"/>
    </row>
    <row r="521" spans="9:9" ht="12.75" x14ac:dyDescent="0.35">
      <c r="I521" s="44"/>
    </row>
    <row r="522" spans="9:9" ht="12.75" x14ac:dyDescent="0.35">
      <c r="I522" s="44"/>
    </row>
    <row r="523" spans="9:9" ht="12.75" x14ac:dyDescent="0.35">
      <c r="I523" s="44"/>
    </row>
    <row r="524" spans="9:9" ht="12.75" x14ac:dyDescent="0.35">
      <c r="I524" s="44"/>
    </row>
    <row r="525" spans="9:9" ht="12.75" x14ac:dyDescent="0.35">
      <c r="I525" s="44"/>
    </row>
    <row r="526" spans="9:9" ht="12.75" x14ac:dyDescent="0.35">
      <c r="I526" s="44"/>
    </row>
    <row r="527" spans="9:9" ht="12.75" x14ac:dyDescent="0.35">
      <c r="I527" s="44"/>
    </row>
    <row r="528" spans="9:9" ht="12.75" x14ac:dyDescent="0.35">
      <c r="I528" s="44"/>
    </row>
    <row r="529" spans="9:9" ht="12.75" x14ac:dyDescent="0.35">
      <c r="I529" s="44"/>
    </row>
    <row r="530" spans="9:9" ht="12.75" x14ac:dyDescent="0.35">
      <c r="I530" s="44"/>
    </row>
    <row r="531" spans="9:9" ht="12.75" x14ac:dyDescent="0.35">
      <c r="I531" s="44"/>
    </row>
    <row r="532" spans="9:9" ht="12.75" x14ac:dyDescent="0.35">
      <c r="I532" s="44"/>
    </row>
    <row r="533" spans="9:9" ht="12.75" x14ac:dyDescent="0.35">
      <c r="I533" s="44"/>
    </row>
    <row r="534" spans="9:9" ht="12.75" x14ac:dyDescent="0.35">
      <c r="I534" s="44"/>
    </row>
    <row r="535" spans="9:9" ht="12.75" x14ac:dyDescent="0.35">
      <c r="I535" s="44"/>
    </row>
    <row r="536" spans="9:9" ht="12.75" x14ac:dyDescent="0.35">
      <c r="I536" s="44"/>
    </row>
    <row r="537" spans="9:9" ht="12.75" x14ac:dyDescent="0.35">
      <c r="I537" s="44"/>
    </row>
    <row r="538" spans="9:9" ht="12.75" x14ac:dyDescent="0.35">
      <c r="I538" s="44"/>
    </row>
    <row r="539" spans="9:9" ht="12.75" x14ac:dyDescent="0.35">
      <c r="I539" s="44"/>
    </row>
    <row r="540" spans="9:9" ht="12.75" x14ac:dyDescent="0.35">
      <c r="I540" s="44"/>
    </row>
    <row r="541" spans="9:9" ht="12.75" x14ac:dyDescent="0.35">
      <c r="I541" s="44"/>
    </row>
    <row r="542" spans="9:9" ht="12.75" x14ac:dyDescent="0.35">
      <c r="I542" s="44"/>
    </row>
    <row r="543" spans="9:9" ht="12.75" x14ac:dyDescent="0.35">
      <c r="I543" s="44"/>
    </row>
    <row r="544" spans="9:9" ht="12.75" x14ac:dyDescent="0.35">
      <c r="I544" s="44"/>
    </row>
    <row r="545" spans="9:9" ht="12.75" x14ac:dyDescent="0.35">
      <c r="I545" s="44"/>
    </row>
    <row r="546" spans="9:9" ht="12.75" x14ac:dyDescent="0.35">
      <c r="I546" s="44"/>
    </row>
    <row r="547" spans="9:9" ht="12.75" x14ac:dyDescent="0.35">
      <c r="I547" s="44"/>
    </row>
    <row r="548" spans="9:9" ht="12.75" x14ac:dyDescent="0.35">
      <c r="I548" s="44"/>
    </row>
    <row r="549" spans="9:9" ht="12.75" x14ac:dyDescent="0.35">
      <c r="I549" s="44"/>
    </row>
    <row r="550" spans="9:9" ht="12.75" x14ac:dyDescent="0.35">
      <c r="I550" s="44"/>
    </row>
    <row r="551" spans="9:9" ht="12.75" x14ac:dyDescent="0.35">
      <c r="I551" s="44"/>
    </row>
    <row r="552" spans="9:9" ht="12.75" x14ac:dyDescent="0.35">
      <c r="I552" s="44"/>
    </row>
    <row r="553" spans="9:9" ht="12.75" x14ac:dyDescent="0.35">
      <c r="I553" s="44"/>
    </row>
    <row r="554" spans="9:9" ht="12.75" x14ac:dyDescent="0.35">
      <c r="I554" s="44"/>
    </row>
    <row r="555" spans="9:9" ht="12.75" x14ac:dyDescent="0.35">
      <c r="I555" s="44"/>
    </row>
    <row r="556" spans="9:9" ht="12.75" x14ac:dyDescent="0.35">
      <c r="I556" s="44"/>
    </row>
    <row r="557" spans="9:9" ht="12.75" x14ac:dyDescent="0.35">
      <c r="I557" s="44"/>
    </row>
    <row r="558" spans="9:9" ht="12.75" x14ac:dyDescent="0.35">
      <c r="I558" s="44"/>
    </row>
    <row r="559" spans="9:9" ht="12.75" x14ac:dyDescent="0.35">
      <c r="I559" s="44"/>
    </row>
    <row r="560" spans="9:9" ht="12.75" x14ac:dyDescent="0.35">
      <c r="I560" s="44"/>
    </row>
    <row r="561" spans="9:9" ht="12.75" x14ac:dyDescent="0.35">
      <c r="I561" s="44"/>
    </row>
    <row r="562" spans="9:9" ht="12.75" x14ac:dyDescent="0.35">
      <c r="I562" s="44"/>
    </row>
    <row r="563" spans="9:9" ht="12.75" x14ac:dyDescent="0.35">
      <c r="I563" s="44"/>
    </row>
    <row r="564" spans="9:9" ht="12.75" x14ac:dyDescent="0.35">
      <c r="I564" s="44"/>
    </row>
    <row r="565" spans="9:9" ht="12.75" x14ac:dyDescent="0.35">
      <c r="I565" s="44"/>
    </row>
    <row r="566" spans="9:9" ht="12.75" x14ac:dyDescent="0.35">
      <c r="I566" s="44"/>
    </row>
    <row r="567" spans="9:9" ht="12.75" x14ac:dyDescent="0.35">
      <c r="I567" s="44"/>
    </row>
    <row r="568" spans="9:9" ht="12.75" x14ac:dyDescent="0.35">
      <c r="I568" s="44"/>
    </row>
    <row r="569" spans="9:9" ht="12.75" x14ac:dyDescent="0.35">
      <c r="I569" s="44"/>
    </row>
    <row r="570" spans="9:9" ht="12.75" x14ac:dyDescent="0.35">
      <c r="I570" s="44"/>
    </row>
    <row r="571" spans="9:9" ht="12.75" x14ac:dyDescent="0.35">
      <c r="I571" s="44"/>
    </row>
    <row r="572" spans="9:9" ht="12.75" x14ac:dyDescent="0.35">
      <c r="I572" s="44"/>
    </row>
    <row r="573" spans="9:9" ht="12.75" x14ac:dyDescent="0.35">
      <c r="I573" s="44"/>
    </row>
    <row r="574" spans="9:9" ht="12.75" x14ac:dyDescent="0.35">
      <c r="I574" s="44"/>
    </row>
    <row r="575" spans="9:9" ht="12.75" x14ac:dyDescent="0.35">
      <c r="I575" s="44"/>
    </row>
    <row r="576" spans="9:9" ht="12.75" x14ac:dyDescent="0.35">
      <c r="I576" s="44"/>
    </row>
    <row r="577" spans="9:9" ht="12.75" x14ac:dyDescent="0.35">
      <c r="I577" s="44"/>
    </row>
    <row r="578" spans="9:9" ht="12.75" x14ac:dyDescent="0.35">
      <c r="I578" s="44"/>
    </row>
    <row r="579" spans="9:9" ht="12.75" x14ac:dyDescent="0.35">
      <c r="I579" s="44"/>
    </row>
    <row r="580" spans="9:9" ht="12.75" x14ac:dyDescent="0.35">
      <c r="I580" s="44"/>
    </row>
    <row r="581" spans="9:9" ht="12.75" x14ac:dyDescent="0.35">
      <c r="I581" s="44"/>
    </row>
    <row r="582" spans="9:9" ht="12.75" x14ac:dyDescent="0.35">
      <c r="I582" s="44"/>
    </row>
    <row r="583" spans="9:9" ht="12.75" x14ac:dyDescent="0.35">
      <c r="I583" s="44"/>
    </row>
    <row r="584" spans="9:9" ht="12.75" x14ac:dyDescent="0.35">
      <c r="I584" s="44"/>
    </row>
    <row r="585" spans="9:9" ht="12.75" x14ac:dyDescent="0.35">
      <c r="I585" s="44"/>
    </row>
    <row r="586" spans="9:9" ht="12.75" x14ac:dyDescent="0.35">
      <c r="I586" s="44"/>
    </row>
    <row r="587" spans="9:9" ht="12.75" x14ac:dyDescent="0.35">
      <c r="I587" s="44"/>
    </row>
    <row r="588" spans="9:9" ht="12.75" x14ac:dyDescent="0.35">
      <c r="I588" s="44"/>
    </row>
    <row r="589" spans="9:9" ht="12.75" x14ac:dyDescent="0.35">
      <c r="I589" s="44"/>
    </row>
    <row r="590" spans="9:9" ht="12.75" x14ac:dyDescent="0.35">
      <c r="I590" s="44"/>
    </row>
    <row r="591" spans="9:9" ht="12.75" x14ac:dyDescent="0.35">
      <c r="I591" s="44"/>
    </row>
    <row r="592" spans="9:9" ht="12.75" x14ac:dyDescent="0.35">
      <c r="I592" s="44"/>
    </row>
    <row r="593" spans="9:9" ht="12.75" x14ac:dyDescent="0.35">
      <c r="I593" s="44"/>
    </row>
    <row r="594" spans="9:9" ht="12.75" x14ac:dyDescent="0.35">
      <c r="I594" s="44"/>
    </row>
    <row r="595" spans="9:9" ht="12.75" x14ac:dyDescent="0.35">
      <c r="I595" s="44"/>
    </row>
    <row r="596" spans="9:9" ht="12.75" x14ac:dyDescent="0.35">
      <c r="I596" s="44"/>
    </row>
    <row r="597" spans="9:9" ht="12.75" x14ac:dyDescent="0.35">
      <c r="I597" s="44"/>
    </row>
    <row r="598" spans="9:9" ht="12.75" x14ac:dyDescent="0.35">
      <c r="I598" s="44"/>
    </row>
    <row r="599" spans="9:9" ht="12.75" x14ac:dyDescent="0.35">
      <c r="I599" s="44"/>
    </row>
    <row r="600" spans="9:9" ht="12.75" x14ac:dyDescent="0.35">
      <c r="I600" s="44"/>
    </row>
    <row r="601" spans="9:9" ht="12.75" x14ac:dyDescent="0.35">
      <c r="I601" s="44"/>
    </row>
    <row r="602" spans="9:9" ht="12.75" x14ac:dyDescent="0.35">
      <c r="I602" s="44"/>
    </row>
    <row r="603" spans="9:9" ht="12.75" x14ac:dyDescent="0.35">
      <c r="I603" s="44"/>
    </row>
    <row r="604" spans="9:9" ht="12.75" x14ac:dyDescent="0.35">
      <c r="I604" s="44"/>
    </row>
    <row r="605" spans="9:9" ht="12.75" x14ac:dyDescent="0.35">
      <c r="I605" s="44"/>
    </row>
    <row r="606" spans="9:9" ht="12.75" x14ac:dyDescent="0.35">
      <c r="I606" s="44"/>
    </row>
    <row r="607" spans="9:9" ht="12.75" x14ac:dyDescent="0.35">
      <c r="I607" s="44"/>
    </row>
    <row r="608" spans="9:9" ht="12.75" x14ac:dyDescent="0.35">
      <c r="I608" s="44"/>
    </row>
    <row r="609" spans="9:9" ht="12.75" x14ac:dyDescent="0.35">
      <c r="I609" s="44"/>
    </row>
    <row r="610" spans="9:9" ht="12.75" x14ac:dyDescent="0.35">
      <c r="I610" s="44"/>
    </row>
    <row r="611" spans="9:9" ht="12.75" x14ac:dyDescent="0.35">
      <c r="I611" s="44"/>
    </row>
    <row r="612" spans="9:9" ht="12.75" x14ac:dyDescent="0.35">
      <c r="I612" s="44"/>
    </row>
    <row r="613" spans="9:9" ht="12.75" x14ac:dyDescent="0.35">
      <c r="I613" s="44"/>
    </row>
    <row r="614" spans="9:9" ht="12.75" x14ac:dyDescent="0.35">
      <c r="I614" s="44"/>
    </row>
    <row r="615" spans="9:9" ht="12.75" x14ac:dyDescent="0.35">
      <c r="I615" s="44"/>
    </row>
    <row r="616" spans="9:9" ht="12.75" x14ac:dyDescent="0.35">
      <c r="I616" s="44"/>
    </row>
    <row r="617" spans="9:9" ht="12.75" x14ac:dyDescent="0.35">
      <c r="I617" s="44"/>
    </row>
    <row r="618" spans="9:9" ht="12.75" x14ac:dyDescent="0.35">
      <c r="I618" s="44"/>
    </row>
    <row r="619" spans="9:9" ht="12.75" x14ac:dyDescent="0.35">
      <c r="I619" s="44"/>
    </row>
    <row r="620" spans="9:9" ht="12.75" x14ac:dyDescent="0.35">
      <c r="I620" s="44"/>
    </row>
    <row r="621" spans="9:9" ht="12.75" x14ac:dyDescent="0.35">
      <c r="I621" s="44"/>
    </row>
    <row r="622" spans="9:9" ht="12.75" x14ac:dyDescent="0.35">
      <c r="I622" s="44"/>
    </row>
    <row r="623" spans="9:9" ht="12.75" x14ac:dyDescent="0.35">
      <c r="I623" s="44"/>
    </row>
    <row r="624" spans="9:9" ht="12.75" x14ac:dyDescent="0.35">
      <c r="I624" s="44"/>
    </row>
    <row r="625" spans="9:9" ht="12.75" x14ac:dyDescent="0.35">
      <c r="I625" s="44"/>
    </row>
    <row r="626" spans="9:9" ht="12.75" x14ac:dyDescent="0.35">
      <c r="I626" s="44"/>
    </row>
    <row r="627" spans="9:9" ht="12.75" x14ac:dyDescent="0.35">
      <c r="I627" s="44"/>
    </row>
    <row r="628" spans="9:9" ht="12.75" x14ac:dyDescent="0.35">
      <c r="I628" s="44"/>
    </row>
    <row r="629" spans="9:9" ht="12.75" x14ac:dyDescent="0.35">
      <c r="I629" s="44"/>
    </row>
    <row r="630" spans="9:9" ht="12.75" x14ac:dyDescent="0.35">
      <c r="I630" s="44"/>
    </row>
    <row r="631" spans="9:9" ht="12.75" x14ac:dyDescent="0.35">
      <c r="I631" s="44"/>
    </row>
    <row r="632" spans="9:9" ht="12.75" x14ac:dyDescent="0.35">
      <c r="I632" s="44"/>
    </row>
    <row r="633" spans="9:9" ht="12.75" x14ac:dyDescent="0.35">
      <c r="I633" s="44"/>
    </row>
    <row r="634" spans="9:9" ht="12.75" x14ac:dyDescent="0.35">
      <c r="I634" s="44"/>
    </row>
    <row r="635" spans="9:9" ht="12.75" x14ac:dyDescent="0.35">
      <c r="I635" s="44"/>
    </row>
    <row r="636" spans="9:9" ht="12.75" x14ac:dyDescent="0.35">
      <c r="I636" s="44"/>
    </row>
    <row r="637" spans="9:9" ht="12.75" x14ac:dyDescent="0.35">
      <c r="I637" s="44"/>
    </row>
    <row r="638" spans="9:9" ht="12.75" x14ac:dyDescent="0.35">
      <c r="I638" s="44"/>
    </row>
    <row r="639" spans="9:9" ht="12.75" x14ac:dyDescent="0.35">
      <c r="I639" s="44"/>
    </row>
    <row r="640" spans="9:9" ht="12.75" x14ac:dyDescent="0.35">
      <c r="I640" s="44"/>
    </row>
    <row r="641" spans="9:9" ht="12.75" x14ac:dyDescent="0.35">
      <c r="I641" s="44"/>
    </row>
    <row r="642" spans="9:9" ht="12.75" x14ac:dyDescent="0.35">
      <c r="I642" s="44"/>
    </row>
    <row r="643" spans="9:9" ht="12.75" x14ac:dyDescent="0.35">
      <c r="I643" s="44"/>
    </row>
    <row r="644" spans="9:9" ht="12.75" x14ac:dyDescent="0.35">
      <c r="I644" s="44"/>
    </row>
    <row r="645" spans="9:9" ht="12.75" x14ac:dyDescent="0.35">
      <c r="I645" s="44"/>
    </row>
    <row r="646" spans="9:9" ht="12.75" x14ac:dyDescent="0.35">
      <c r="I646" s="44"/>
    </row>
    <row r="647" spans="9:9" ht="12.75" x14ac:dyDescent="0.35">
      <c r="I647" s="44"/>
    </row>
    <row r="648" spans="9:9" ht="12.75" x14ac:dyDescent="0.35">
      <c r="I648" s="44"/>
    </row>
    <row r="649" spans="9:9" ht="12.75" x14ac:dyDescent="0.35">
      <c r="I649" s="44"/>
    </row>
    <row r="650" spans="9:9" ht="12.75" x14ac:dyDescent="0.35">
      <c r="I650" s="44"/>
    </row>
    <row r="651" spans="9:9" ht="12.75" x14ac:dyDescent="0.35">
      <c r="I651" s="44"/>
    </row>
    <row r="652" spans="9:9" ht="12.75" x14ac:dyDescent="0.35">
      <c r="I652" s="44"/>
    </row>
    <row r="653" spans="9:9" ht="12.75" x14ac:dyDescent="0.35">
      <c r="I653" s="44"/>
    </row>
    <row r="654" spans="9:9" ht="12.75" x14ac:dyDescent="0.35">
      <c r="I654" s="44"/>
    </row>
    <row r="655" spans="9:9" ht="12.75" x14ac:dyDescent="0.35">
      <c r="I655" s="44"/>
    </row>
    <row r="656" spans="9:9" ht="12.75" x14ac:dyDescent="0.35">
      <c r="I656" s="44"/>
    </row>
    <row r="657" spans="9:9" ht="12.75" x14ac:dyDescent="0.35">
      <c r="I657" s="44"/>
    </row>
    <row r="658" spans="9:9" ht="12.75" x14ac:dyDescent="0.35">
      <c r="I658" s="44"/>
    </row>
    <row r="659" spans="9:9" ht="12.75" x14ac:dyDescent="0.35">
      <c r="I659" s="44"/>
    </row>
    <row r="660" spans="9:9" ht="12.75" x14ac:dyDescent="0.35">
      <c r="I660" s="44"/>
    </row>
    <row r="661" spans="9:9" ht="12.75" x14ac:dyDescent="0.35">
      <c r="I661" s="44"/>
    </row>
    <row r="662" spans="9:9" ht="12.75" x14ac:dyDescent="0.35">
      <c r="I662" s="44"/>
    </row>
    <row r="663" spans="9:9" ht="12.75" x14ac:dyDescent="0.35">
      <c r="I663" s="44"/>
    </row>
    <row r="664" spans="9:9" ht="12.75" x14ac:dyDescent="0.35">
      <c r="I664" s="44"/>
    </row>
    <row r="665" spans="9:9" ht="12.75" x14ac:dyDescent="0.35">
      <c r="I665" s="44"/>
    </row>
    <row r="666" spans="9:9" ht="12.75" x14ac:dyDescent="0.35">
      <c r="I666" s="44"/>
    </row>
    <row r="667" spans="9:9" ht="12.75" x14ac:dyDescent="0.35">
      <c r="I667" s="44"/>
    </row>
    <row r="668" spans="9:9" ht="12.75" x14ac:dyDescent="0.35">
      <c r="I668" s="44"/>
    </row>
    <row r="669" spans="9:9" ht="12.75" x14ac:dyDescent="0.35">
      <c r="I669" s="44"/>
    </row>
    <row r="670" spans="9:9" ht="12.75" x14ac:dyDescent="0.35">
      <c r="I670" s="44"/>
    </row>
    <row r="671" spans="9:9" ht="12.75" x14ac:dyDescent="0.35">
      <c r="I671" s="44"/>
    </row>
    <row r="672" spans="9:9" ht="12.75" x14ac:dyDescent="0.35">
      <c r="I672" s="44"/>
    </row>
    <row r="673" spans="9:9" ht="12.75" x14ac:dyDescent="0.35">
      <c r="I673" s="44"/>
    </row>
    <row r="674" spans="9:9" ht="12.75" x14ac:dyDescent="0.35">
      <c r="I674" s="44"/>
    </row>
    <row r="675" spans="9:9" ht="12.75" x14ac:dyDescent="0.35">
      <c r="I675" s="44"/>
    </row>
    <row r="676" spans="9:9" ht="12.75" x14ac:dyDescent="0.35">
      <c r="I676" s="44"/>
    </row>
    <row r="677" spans="9:9" ht="12.75" x14ac:dyDescent="0.35">
      <c r="I677" s="44"/>
    </row>
    <row r="678" spans="9:9" ht="12.75" x14ac:dyDescent="0.35">
      <c r="I678" s="44"/>
    </row>
    <row r="679" spans="9:9" ht="12.75" x14ac:dyDescent="0.35">
      <c r="I679" s="44"/>
    </row>
    <row r="680" spans="9:9" ht="12.75" x14ac:dyDescent="0.35">
      <c r="I680" s="44"/>
    </row>
    <row r="681" spans="9:9" ht="12.75" x14ac:dyDescent="0.35">
      <c r="I681" s="44"/>
    </row>
    <row r="682" spans="9:9" ht="12.75" x14ac:dyDescent="0.35">
      <c r="I682" s="44"/>
    </row>
    <row r="683" spans="9:9" ht="12.75" x14ac:dyDescent="0.35">
      <c r="I683" s="44"/>
    </row>
    <row r="684" spans="9:9" ht="12.75" x14ac:dyDescent="0.35">
      <c r="I684" s="44"/>
    </row>
    <row r="685" spans="9:9" ht="12.75" x14ac:dyDescent="0.35">
      <c r="I685" s="44"/>
    </row>
    <row r="686" spans="9:9" ht="12.75" x14ac:dyDescent="0.35">
      <c r="I686" s="44"/>
    </row>
    <row r="687" spans="9:9" ht="12.75" x14ac:dyDescent="0.35">
      <c r="I687" s="44"/>
    </row>
    <row r="688" spans="9:9" ht="12.75" x14ac:dyDescent="0.35">
      <c r="I688" s="44"/>
    </row>
    <row r="689" spans="9:9" ht="12.75" x14ac:dyDescent="0.35">
      <c r="I689" s="44"/>
    </row>
    <row r="690" spans="9:9" ht="12.75" x14ac:dyDescent="0.35">
      <c r="I690" s="44"/>
    </row>
    <row r="691" spans="9:9" ht="12.75" x14ac:dyDescent="0.35">
      <c r="I691" s="44"/>
    </row>
    <row r="692" spans="9:9" ht="12.75" x14ac:dyDescent="0.35">
      <c r="I692" s="44"/>
    </row>
    <row r="693" spans="9:9" ht="12.75" x14ac:dyDescent="0.35">
      <c r="I693" s="44"/>
    </row>
    <row r="694" spans="9:9" ht="12.75" x14ac:dyDescent="0.35">
      <c r="I694" s="44"/>
    </row>
    <row r="695" spans="9:9" ht="12.75" x14ac:dyDescent="0.35">
      <c r="I695" s="44"/>
    </row>
    <row r="696" spans="9:9" ht="12.75" x14ac:dyDescent="0.35">
      <c r="I696" s="44"/>
    </row>
    <row r="697" spans="9:9" ht="12.75" x14ac:dyDescent="0.35">
      <c r="I697" s="44"/>
    </row>
    <row r="698" spans="9:9" ht="12.75" x14ac:dyDescent="0.35">
      <c r="I698" s="44"/>
    </row>
    <row r="699" spans="9:9" ht="12.75" x14ac:dyDescent="0.35">
      <c r="I699" s="44"/>
    </row>
    <row r="700" spans="9:9" ht="12.75" x14ac:dyDescent="0.35">
      <c r="I700" s="44"/>
    </row>
    <row r="701" spans="9:9" ht="12.75" x14ac:dyDescent="0.35">
      <c r="I701" s="44"/>
    </row>
    <row r="702" spans="9:9" ht="12.75" x14ac:dyDescent="0.35">
      <c r="I702" s="44"/>
    </row>
    <row r="703" spans="9:9" ht="12.75" x14ac:dyDescent="0.35">
      <c r="I703" s="44"/>
    </row>
    <row r="704" spans="9:9" ht="12.75" x14ac:dyDescent="0.35">
      <c r="I704" s="44"/>
    </row>
    <row r="705" spans="9:9" ht="12.75" x14ac:dyDescent="0.35">
      <c r="I705" s="44"/>
    </row>
    <row r="706" spans="9:9" ht="12.75" x14ac:dyDescent="0.35">
      <c r="I706" s="44"/>
    </row>
    <row r="707" spans="9:9" ht="12.75" x14ac:dyDescent="0.35">
      <c r="I707" s="44"/>
    </row>
    <row r="708" spans="9:9" ht="12.75" x14ac:dyDescent="0.35">
      <c r="I708" s="44"/>
    </row>
    <row r="709" spans="9:9" ht="12.75" x14ac:dyDescent="0.35">
      <c r="I709" s="44"/>
    </row>
    <row r="710" spans="9:9" ht="12.75" x14ac:dyDescent="0.35">
      <c r="I710" s="44"/>
    </row>
    <row r="711" spans="9:9" ht="12.75" x14ac:dyDescent="0.35">
      <c r="I711" s="44"/>
    </row>
    <row r="712" spans="9:9" ht="12.75" x14ac:dyDescent="0.35">
      <c r="I712" s="44"/>
    </row>
    <row r="713" spans="9:9" ht="12.75" x14ac:dyDescent="0.35">
      <c r="I713" s="44"/>
    </row>
    <row r="714" spans="9:9" ht="12.75" x14ac:dyDescent="0.35">
      <c r="I714" s="44"/>
    </row>
    <row r="715" spans="9:9" ht="12.75" x14ac:dyDescent="0.35">
      <c r="I715" s="44"/>
    </row>
    <row r="716" spans="9:9" ht="12.75" x14ac:dyDescent="0.35">
      <c r="I716" s="44"/>
    </row>
    <row r="717" spans="9:9" ht="12.75" x14ac:dyDescent="0.35">
      <c r="I717" s="44"/>
    </row>
    <row r="718" spans="9:9" ht="12.75" x14ac:dyDescent="0.35">
      <c r="I718" s="44"/>
    </row>
    <row r="719" spans="9:9" ht="12.75" x14ac:dyDescent="0.35">
      <c r="I719" s="44"/>
    </row>
    <row r="720" spans="9:9" ht="12.75" x14ac:dyDescent="0.35">
      <c r="I720" s="44"/>
    </row>
    <row r="721" spans="9:9" ht="12.75" x14ac:dyDescent="0.35">
      <c r="I721" s="44"/>
    </row>
    <row r="722" spans="9:9" ht="12.75" x14ac:dyDescent="0.35">
      <c r="I722" s="44"/>
    </row>
    <row r="723" spans="9:9" ht="12.75" x14ac:dyDescent="0.35">
      <c r="I723" s="44"/>
    </row>
    <row r="724" spans="9:9" ht="12.75" x14ac:dyDescent="0.35">
      <c r="I724" s="44"/>
    </row>
    <row r="725" spans="9:9" ht="12.75" x14ac:dyDescent="0.35">
      <c r="I725" s="44"/>
    </row>
    <row r="726" spans="9:9" ht="12.75" x14ac:dyDescent="0.35">
      <c r="I726" s="44"/>
    </row>
    <row r="727" spans="9:9" ht="12.75" x14ac:dyDescent="0.35">
      <c r="I727" s="44"/>
    </row>
    <row r="728" spans="9:9" ht="12.75" x14ac:dyDescent="0.35">
      <c r="I728" s="44"/>
    </row>
    <row r="729" spans="9:9" ht="12.75" x14ac:dyDescent="0.35">
      <c r="I729" s="44"/>
    </row>
    <row r="730" spans="9:9" ht="12.75" x14ac:dyDescent="0.35">
      <c r="I730" s="44"/>
    </row>
    <row r="731" spans="9:9" ht="12.75" x14ac:dyDescent="0.35">
      <c r="I731" s="44"/>
    </row>
    <row r="732" spans="9:9" ht="12.75" x14ac:dyDescent="0.35">
      <c r="I732" s="44"/>
    </row>
    <row r="733" spans="9:9" ht="12.75" x14ac:dyDescent="0.35">
      <c r="I733" s="44"/>
    </row>
    <row r="734" spans="9:9" ht="12.75" x14ac:dyDescent="0.35">
      <c r="I734" s="44"/>
    </row>
    <row r="735" spans="9:9" ht="12.75" x14ac:dyDescent="0.35">
      <c r="I735" s="44"/>
    </row>
    <row r="736" spans="9:9" ht="12.75" x14ac:dyDescent="0.35">
      <c r="I736" s="44"/>
    </row>
    <row r="737" spans="9:9" ht="12.75" x14ac:dyDescent="0.35">
      <c r="I737" s="44"/>
    </row>
    <row r="738" spans="9:9" ht="12.75" x14ac:dyDescent="0.35">
      <c r="I738" s="44"/>
    </row>
    <row r="739" spans="9:9" ht="12.75" x14ac:dyDescent="0.35">
      <c r="I739" s="44"/>
    </row>
    <row r="740" spans="9:9" ht="12.75" x14ac:dyDescent="0.35">
      <c r="I740" s="44"/>
    </row>
    <row r="741" spans="9:9" ht="12.75" x14ac:dyDescent="0.35">
      <c r="I741" s="44"/>
    </row>
    <row r="742" spans="9:9" ht="12.75" x14ac:dyDescent="0.35">
      <c r="I742" s="44"/>
    </row>
    <row r="743" spans="9:9" ht="12.75" x14ac:dyDescent="0.35">
      <c r="I743" s="44"/>
    </row>
    <row r="744" spans="9:9" ht="12.75" x14ac:dyDescent="0.35">
      <c r="I744" s="44"/>
    </row>
    <row r="745" spans="9:9" ht="12.75" x14ac:dyDescent="0.35">
      <c r="I745" s="44"/>
    </row>
    <row r="746" spans="9:9" ht="12.75" x14ac:dyDescent="0.35">
      <c r="I746" s="44"/>
    </row>
    <row r="747" spans="9:9" ht="12.75" x14ac:dyDescent="0.35">
      <c r="I747" s="44"/>
    </row>
    <row r="748" spans="9:9" ht="12.75" x14ac:dyDescent="0.35">
      <c r="I748" s="44"/>
    </row>
    <row r="749" spans="9:9" ht="12.75" x14ac:dyDescent="0.35">
      <c r="I749" s="44"/>
    </row>
    <row r="750" spans="9:9" ht="12.75" x14ac:dyDescent="0.35">
      <c r="I750" s="44"/>
    </row>
    <row r="751" spans="9:9" ht="12.75" x14ac:dyDescent="0.35">
      <c r="I751" s="44"/>
    </row>
    <row r="752" spans="9:9" ht="12.75" x14ac:dyDescent="0.35">
      <c r="I752" s="44"/>
    </row>
    <row r="753" spans="9:9" ht="12.75" x14ac:dyDescent="0.35">
      <c r="I753" s="44"/>
    </row>
    <row r="754" spans="9:9" ht="12.75" x14ac:dyDescent="0.35">
      <c r="I754" s="44"/>
    </row>
    <row r="755" spans="9:9" ht="12.75" x14ac:dyDescent="0.35">
      <c r="I755" s="44"/>
    </row>
    <row r="756" spans="9:9" ht="12.75" x14ac:dyDescent="0.35">
      <c r="I756" s="44"/>
    </row>
    <row r="757" spans="9:9" ht="12.75" x14ac:dyDescent="0.35">
      <c r="I757" s="44"/>
    </row>
    <row r="758" spans="9:9" ht="12.75" x14ac:dyDescent="0.35">
      <c r="I758" s="44"/>
    </row>
    <row r="759" spans="9:9" ht="12.75" x14ac:dyDescent="0.35">
      <c r="I759" s="44"/>
    </row>
    <row r="760" spans="9:9" ht="12.75" x14ac:dyDescent="0.35">
      <c r="I760" s="44"/>
    </row>
    <row r="761" spans="9:9" ht="12.75" x14ac:dyDescent="0.35">
      <c r="I761" s="44"/>
    </row>
    <row r="762" spans="9:9" ht="12.75" x14ac:dyDescent="0.35">
      <c r="I762" s="44"/>
    </row>
    <row r="763" spans="9:9" ht="12.75" x14ac:dyDescent="0.35">
      <c r="I763" s="44"/>
    </row>
    <row r="764" spans="9:9" ht="12.75" x14ac:dyDescent="0.35">
      <c r="I764" s="44"/>
    </row>
    <row r="765" spans="9:9" ht="12.75" x14ac:dyDescent="0.35">
      <c r="I765" s="44"/>
    </row>
    <row r="766" spans="9:9" ht="12.75" x14ac:dyDescent="0.35">
      <c r="I766" s="44"/>
    </row>
    <row r="767" spans="9:9" ht="12.75" x14ac:dyDescent="0.35">
      <c r="I767" s="44"/>
    </row>
    <row r="768" spans="9:9" ht="12.75" x14ac:dyDescent="0.35">
      <c r="I768" s="44"/>
    </row>
    <row r="769" spans="9:9" ht="12.75" x14ac:dyDescent="0.35">
      <c r="I769" s="44"/>
    </row>
    <row r="770" spans="9:9" ht="12.75" x14ac:dyDescent="0.35">
      <c r="I770" s="44"/>
    </row>
    <row r="771" spans="9:9" ht="12.75" x14ac:dyDescent="0.35">
      <c r="I771" s="44"/>
    </row>
    <row r="772" spans="9:9" ht="12.75" x14ac:dyDescent="0.35">
      <c r="I772" s="44"/>
    </row>
    <row r="773" spans="9:9" ht="12.75" x14ac:dyDescent="0.35">
      <c r="I773" s="44"/>
    </row>
    <row r="774" spans="9:9" ht="12.75" x14ac:dyDescent="0.35">
      <c r="I774" s="44"/>
    </row>
    <row r="775" spans="9:9" ht="12.75" x14ac:dyDescent="0.35">
      <c r="I775" s="44"/>
    </row>
    <row r="776" spans="9:9" ht="12.75" x14ac:dyDescent="0.35">
      <c r="I776" s="44"/>
    </row>
    <row r="777" spans="9:9" ht="12.75" x14ac:dyDescent="0.35">
      <c r="I777" s="44"/>
    </row>
    <row r="778" spans="9:9" ht="12.75" x14ac:dyDescent="0.35">
      <c r="I778" s="44"/>
    </row>
    <row r="779" spans="9:9" ht="12.75" x14ac:dyDescent="0.35">
      <c r="I779" s="44"/>
    </row>
    <row r="780" spans="9:9" ht="12.75" x14ac:dyDescent="0.35">
      <c r="I780" s="44"/>
    </row>
    <row r="781" spans="9:9" ht="12.75" x14ac:dyDescent="0.35">
      <c r="I781" s="44"/>
    </row>
    <row r="782" spans="9:9" ht="12.75" x14ac:dyDescent="0.35">
      <c r="I782" s="44"/>
    </row>
    <row r="783" spans="9:9" ht="12.75" x14ac:dyDescent="0.35">
      <c r="I783" s="44"/>
    </row>
    <row r="784" spans="9:9" ht="12.75" x14ac:dyDescent="0.35">
      <c r="I784" s="44"/>
    </row>
    <row r="785" spans="9:9" ht="12.75" x14ac:dyDescent="0.35">
      <c r="I785" s="44"/>
    </row>
    <row r="786" spans="9:9" ht="12.75" x14ac:dyDescent="0.35">
      <c r="I786" s="44"/>
    </row>
    <row r="787" spans="9:9" ht="12.75" x14ac:dyDescent="0.35">
      <c r="I787" s="44"/>
    </row>
    <row r="788" spans="9:9" ht="12.75" x14ac:dyDescent="0.35">
      <c r="I788" s="44"/>
    </row>
    <row r="789" spans="9:9" ht="12.75" x14ac:dyDescent="0.35">
      <c r="I789" s="44"/>
    </row>
    <row r="790" spans="9:9" ht="12.75" x14ac:dyDescent="0.35">
      <c r="I790" s="44"/>
    </row>
    <row r="791" spans="9:9" ht="12.75" x14ac:dyDescent="0.35">
      <c r="I791" s="44"/>
    </row>
    <row r="792" spans="9:9" ht="12.75" x14ac:dyDescent="0.35">
      <c r="I792" s="44"/>
    </row>
    <row r="793" spans="9:9" ht="12.75" x14ac:dyDescent="0.35">
      <c r="I793" s="44"/>
    </row>
    <row r="794" spans="9:9" ht="12.75" x14ac:dyDescent="0.35">
      <c r="I794" s="44"/>
    </row>
    <row r="795" spans="9:9" ht="12.75" x14ac:dyDescent="0.35">
      <c r="I795" s="44"/>
    </row>
    <row r="796" spans="9:9" ht="12.75" x14ac:dyDescent="0.35">
      <c r="I796" s="44"/>
    </row>
    <row r="797" spans="9:9" ht="12.75" x14ac:dyDescent="0.35">
      <c r="I797" s="44"/>
    </row>
    <row r="798" spans="9:9" ht="12.75" x14ac:dyDescent="0.35">
      <c r="I798" s="44"/>
    </row>
    <row r="799" spans="9:9" ht="12.75" x14ac:dyDescent="0.35">
      <c r="I799" s="44"/>
    </row>
    <row r="800" spans="9:9" ht="12.75" x14ac:dyDescent="0.35">
      <c r="I800" s="44"/>
    </row>
    <row r="801" spans="9:9" ht="12.75" x14ac:dyDescent="0.35">
      <c r="I801" s="44"/>
    </row>
    <row r="802" spans="9:9" ht="12.75" x14ac:dyDescent="0.35">
      <c r="I802" s="44"/>
    </row>
    <row r="803" spans="9:9" ht="12.75" x14ac:dyDescent="0.35">
      <c r="I803" s="44"/>
    </row>
    <row r="804" spans="9:9" ht="12.75" x14ac:dyDescent="0.35">
      <c r="I804" s="44"/>
    </row>
    <row r="805" spans="9:9" ht="12.75" x14ac:dyDescent="0.35">
      <c r="I805" s="44"/>
    </row>
    <row r="806" spans="9:9" ht="12.75" x14ac:dyDescent="0.35">
      <c r="I806" s="44"/>
    </row>
    <row r="807" spans="9:9" ht="12.75" x14ac:dyDescent="0.35">
      <c r="I807" s="44"/>
    </row>
    <row r="808" spans="9:9" ht="12.75" x14ac:dyDescent="0.35">
      <c r="I808" s="44"/>
    </row>
    <row r="809" spans="9:9" ht="12.75" x14ac:dyDescent="0.35">
      <c r="I809" s="44"/>
    </row>
    <row r="810" spans="9:9" ht="12.75" x14ac:dyDescent="0.35">
      <c r="I810" s="44"/>
    </row>
    <row r="811" spans="9:9" ht="12.75" x14ac:dyDescent="0.35">
      <c r="I811" s="44"/>
    </row>
    <row r="812" spans="9:9" ht="12.75" x14ac:dyDescent="0.35">
      <c r="I812" s="44"/>
    </row>
    <row r="813" spans="9:9" ht="12.75" x14ac:dyDescent="0.35">
      <c r="I813" s="44"/>
    </row>
    <row r="814" spans="9:9" ht="12.75" x14ac:dyDescent="0.35">
      <c r="I814" s="44"/>
    </row>
    <row r="815" spans="9:9" ht="12.75" x14ac:dyDescent="0.35">
      <c r="I815" s="44"/>
    </row>
    <row r="816" spans="9:9" ht="12.75" x14ac:dyDescent="0.35">
      <c r="I816" s="44"/>
    </row>
    <row r="817" spans="9:9" ht="12.75" x14ac:dyDescent="0.35">
      <c r="I817" s="44"/>
    </row>
    <row r="818" spans="9:9" ht="12.75" x14ac:dyDescent="0.35">
      <c r="I818" s="44"/>
    </row>
    <row r="819" spans="9:9" ht="12.75" x14ac:dyDescent="0.35">
      <c r="I819" s="44"/>
    </row>
    <row r="820" spans="9:9" ht="12.75" x14ac:dyDescent="0.35">
      <c r="I820" s="44"/>
    </row>
    <row r="821" spans="9:9" ht="12.75" x14ac:dyDescent="0.35">
      <c r="I821" s="44"/>
    </row>
    <row r="822" spans="9:9" ht="12.75" x14ac:dyDescent="0.35">
      <c r="I822" s="44"/>
    </row>
    <row r="823" spans="9:9" ht="12.75" x14ac:dyDescent="0.35">
      <c r="I823" s="44"/>
    </row>
    <row r="824" spans="9:9" ht="12.75" x14ac:dyDescent="0.35">
      <c r="I824" s="44"/>
    </row>
    <row r="825" spans="9:9" ht="12.75" x14ac:dyDescent="0.35">
      <c r="I825" s="44"/>
    </row>
    <row r="826" spans="9:9" ht="12.75" x14ac:dyDescent="0.35">
      <c r="I826" s="44"/>
    </row>
    <row r="827" spans="9:9" ht="12.75" x14ac:dyDescent="0.35">
      <c r="I827" s="44"/>
    </row>
    <row r="828" spans="9:9" ht="12.75" x14ac:dyDescent="0.35">
      <c r="I828" s="44"/>
    </row>
    <row r="829" spans="9:9" ht="12.75" x14ac:dyDescent="0.35">
      <c r="I829" s="44"/>
    </row>
    <row r="830" spans="9:9" ht="12.75" x14ac:dyDescent="0.35">
      <c r="I830" s="44"/>
    </row>
    <row r="831" spans="9:9" ht="12.75" x14ac:dyDescent="0.35">
      <c r="I831" s="44"/>
    </row>
    <row r="832" spans="9:9" ht="12.75" x14ac:dyDescent="0.35">
      <c r="I832" s="44"/>
    </row>
    <row r="833" spans="9:9" ht="12.75" x14ac:dyDescent="0.35">
      <c r="I833" s="44"/>
    </row>
    <row r="834" spans="9:9" ht="12.75" x14ac:dyDescent="0.35">
      <c r="I834" s="44"/>
    </row>
    <row r="835" spans="9:9" ht="12.75" x14ac:dyDescent="0.35">
      <c r="I835" s="44"/>
    </row>
    <row r="836" spans="9:9" ht="12.75" x14ac:dyDescent="0.35">
      <c r="I836" s="44"/>
    </row>
    <row r="837" spans="9:9" ht="12.75" x14ac:dyDescent="0.35">
      <c r="I837" s="44"/>
    </row>
    <row r="838" spans="9:9" ht="12.75" x14ac:dyDescent="0.35">
      <c r="I838" s="44"/>
    </row>
    <row r="839" spans="9:9" ht="12.75" x14ac:dyDescent="0.35">
      <c r="I839" s="44"/>
    </row>
    <row r="840" spans="9:9" ht="12.75" x14ac:dyDescent="0.35">
      <c r="I840" s="44"/>
    </row>
    <row r="841" spans="9:9" ht="12.75" x14ac:dyDescent="0.35">
      <c r="I841" s="44"/>
    </row>
    <row r="842" spans="9:9" ht="12.75" x14ac:dyDescent="0.35">
      <c r="I842" s="44"/>
    </row>
    <row r="843" spans="9:9" ht="12.75" x14ac:dyDescent="0.35">
      <c r="I843" s="44"/>
    </row>
    <row r="844" spans="9:9" ht="12.75" x14ac:dyDescent="0.35">
      <c r="I844" s="44"/>
    </row>
    <row r="845" spans="9:9" ht="12.75" x14ac:dyDescent="0.35">
      <c r="I845" s="44"/>
    </row>
    <row r="846" spans="9:9" ht="12.75" x14ac:dyDescent="0.35">
      <c r="I846" s="44"/>
    </row>
    <row r="847" spans="9:9" ht="12.75" x14ac:dyDescent="0.35">
      <c r="I847" s="44"/>
    </row>
    <row r="848" spans="9:9" ht="12.75" x14ac:dyDescent="0.35">
      <c r="I848" s="44"/>
    </row>
    <row r="849" spans="9:9" ht="12.75" x14ac:dyDescent="0.35">
      <c r="I849" s="44"/>
    </row>
    <row r="850" spans="9:9" ht="12.75" x14ac:dyDescent="0.35">
      <c r="I850" s="44"/>
    </row>
    <row r="851" spans="9:9" ht="12.75" x14ac:dyDescent="0.35">
      <c r="I851" s="44"/>
    </row>
    <row r="852" spans="9:9" ht="12.75" x14ac:dyDescent="0.35">
      <c r="I852" s="44"/>
    </row>
    <row r="853" spans="9:9" ht="12.75" x14ac:dyDescent="0.35">
      <c r="I853" s="44"/>
    </row>
    <row r="854" spans="9:9" ht="12.75" x14ac:dyDescent="0.35">
      <c r="I854" s="44"/>
    </row>
    <row r="855" spans="9:9" ht="12.75" x14ac:dyDescent="0.35">
      <c r="I855" s="44"/>
    </row>
    <row r="856" spans="9:9" ht="12.75" x14ac:dyDescent="0.35">
      <c r="I856" s="44"/>
    </row>
    <row r="857" spans="9:9" ht="12.75" x14ac:dyDescent="0.35">
      <c r="I857" s="44"/>
    </row>
    <row r="858" spans="9:9" ht="12.75" x14ac:dyDescent="0.35">
      <c r="I858" s="44"/>
    </row>
    <row r="859" spans="9:9" ht="12.75" x14ac:dyDescent="0.35">
      <c r="I859" s="44"/>
    </row>
    <row r="860" spans="9:9" ht="12.75" x14ac:dyDescent="0.35">
      <c r="I860" s="44"/>
    </row>
    <row r="861" spans="9:9" ht="12.75" x14ac:dyDescent="0.35">
      <c r="I861" s="44"/>
    </row>
    <row r="862" spans="9:9" ht="12.75" x14ac:dyDescent="0.35">
      <c r="I862" s="44"/>
    </row>
    <row r="863" spans="9:9" ht="12.75" x14ac:dyDescent="0.35">
      <c r="I863" s="44"/>
    </row>
    <row r="864" spans="9:9" ht="12.75" x14ac:dyDescent="0.35">
      <c r="I864" s="44"/>
    </row>
    <row r="865" spans="9:9" ht="12.75" x14ac:dyDescent="0.35">
      <c r="I865" s="44"/>
    </row>
    <row r="866" spans="9:9" ht="12.75" x14ac:dyDescent="0.35">
      <c r="I866" s="44"/>
    </row>
    <row r="867" spans="9:9" ht="12.75" x14ac:dyDescent="0.35">
      <c r="I867" s="44"/>
    </row>
    <row r="868" spans="9:9" ht="12.75" x14ac:dyDescent="0.35">
      <c r="I868" s="44"/>
    </row>
    <row r="869" spans="9:9" ht="12.75" x14ac:dyDescent="0.35">
      <c r="I869" s="44"/>
    </row>
    <row r="870" spans="9:9" ht="12.75" x14ac:dyDescent="0.35">
      <c r="I870" s="44"/>
    </row>
    <row r="871" spans="9:9" ht="12.75" x14ac:dyDescent="0.35">
      <c r="I871" s="44"/>
    </row>
    <row r="872" spans="9:9" ht="12.75" x14ac:dyDescent="0.35">
      <c r="I872" s="44"/>
    </row>
    <row r="873" spans="9:9" ht="12.75" x14ac:dyDescent="0.35">
      <c r="I873" s="44"/>
    </row>
    <row r="874" spans="9:9" ht="12.75" x14ac:dyDescent="0.35">
      <c r="I874" s="44"/>
    </row>
    <row r="875" spans="9:9" ht="12.75" x14ac:dyDescent="0.35">
      <c r="I875" s="44"/>
    </row>
    <row r="876" spans="9:9" ht="12.75" x14ac:dyDescent="0.35">
      <c r="I876" s="44"/>
    </row>
    <row r="877" spans="9:9" ht="12.75" x14ac:dyDescent="0.35">
      <c r="I877" s="44"/>
    </row>
    <row r="878" spans="9:9" ht="12.75" x14ac:dyDescent="0.35">
      <c r="I878" s="44"/>
    </row>
    <row r="879" spans="9:9" ht="12.75" x14ac:dyDescent="0.35">
      <c r="I879" s="44"/>
    </row>
    <row r="880" spans="9:9" ht="12.75" x14ac:dyDescent="0.35">
      <c r="I880" s="44"/>
    </row>
    <row r="881" spans="9:9" ht="12.75" x14ac:dyDescent="0.35">
      <c r="I881" s="44"/>
    </row>
    <row r="882" spans="9:9" ht="12.75" x14ac:dyDescent="0.35">
      <c r="I882" s="44"/>
    </row>
    <row r="883" spans="9:9" ht="12.75" x14ac:dyDescent="0.35">
      <c r="I883" s="44"/>
    </row>
    <row r="884" spans="9:9" ht="12.75" x14ac:dyDescent="0.35">
      <c r="I884" s="44"/>
    </row>
    <row r="885" spans="9:9" ht="12.75" x14ac:dyDescent="0.35">
      <c r="I885" s="44"/>
    </row>
    <row r="886" spans="9:9" ht="12.75" x14ac:dyDescent="0.35">
      <c r="I886" s="44"/>
    </row>
    <row r="887" spans="9:9" ht="12.75" x14ac:dyDescent="0.35">
      <c r="I887" s="44"/>
    </row>
    <row r="888" spans="9:9" ht="12.75" x14ac:dyDescent="0.35">
      <c r="I888" s="44"/>
    </row>
    <row r="889" spans="9:9" ht="12.75" x14ac:dyDescent="0.35">
      <c r="I889" s="44"/>
    </row>
    <row r="890" spans="9:9" ht="12.75" x14ac:dyDescent="0.35">
      <c r="I890" s="44"/>
    </row>
    <row r="891" spans="9:9" ht="12.75" x14ac:dyDescent="0.35">
      <c r="I891" s="44"/>
    </row>
    <row r="892" spans="9:9" ht="12.75" x14ac:dyDescent="0.35">
      <c r="I892" s="44"/>
    </row>
    <row r="893" spans="9:9" ht="12.75" x14ac:dyDescent="0.35">
      <c r="I893" s="44"/>
    </row>
    <row r="894" spans="9:9" ht="12.75" x14ac:dyDescent="0.35">
      <c r="I894" s="44"/>
    </row>
    <row r="895" spans="9:9" ht="12.75" x14ac:dyDescent="0.35">
      <c r="I895" s="44"/>
    </row>
    <row r="896" spans="9:9" ht="12.75" x14ac:dyDescent="0.35">
      <c r="I896" s="44"/>
    </row>
    <row r="897" spans="9:9" ht="12.75" x14ac:dyDescent="0.35">
      <c r="I897" s="44"/>
    </row>
    <row r="898" spans="9:9" ht="12.75" x14ac:dyDescent="0.35">
      <c r="I898" s="44"/>
    </row>
    <row r="899" spans="9:9" ht="12.75" x14ac:dyDescent="0.35">
      <c r="I899" s="44"/>
    </row>
    <row r="900" spans="9:9" ht="12.75" x14ac:dyDescent="0.35">
      <c r="I900" s="44"/>
    </row>
    <row r="901" spans="9:9" ht="12.75" x14ac:dyDescent="0.35">
      <c r="I901" s="44"/>
    </row>
    <row r="902" spans="9:9" ht="12.75" x14ac:dyDescent="0.35">
      <c r="I902" s="44"/>
    </row>
    <row r="903" spans="9:9" ht="12.75" x14ac:dyDescent="0.35">
      <c r="I903" s="44"/>
    </row>
    <row r="904" spans="9:9" ht="12.75" x14ac:dyDescent="0.35">
      <c r="I904" s="44"/>
    </row>
    <row r="905" spans="9:9" ht="12.75" x14ac:dyDescent="0.35">
      <c r="I905" s="44"/>
    </row>
    <row r="906" spans="9:9" ht="12.75" x14ac:dyDescent="0.35">
      <c r="I906" s="44"/>
    </row>
    <row r="907" spans="9:9" ht="12.75" x14ac:dyDescent="0.35">
      <c r="I907" s="44"/>
    </row>
    <row r="908" spans="9:9" ht="12.75" x14ac:dyDescent="0.35">
      <c r="I908" s="44"/>
    </row>
    <row r="909" spans="9:9" ht="12.75" x14ac:dyDescent="0.35">
      <c r="I909" s="44"/>
    </row>
    <row r="910" spans="9:9" ht="12.75" x14ac:dyDescent="0.35">
      <c r="I910" s="44"/>
    </row>
    <row r="911" spans="9:9" ht="12.75" x14ac:dyDescent="0.35">
      <c r="I911" s="44"/>
    </row>
    <row r="912" spans="9:9" ht="12.75" x14ac:dyDescent="0.35">
      <c r="I912" s="44"/>
    </row>
    <row r="913" spans="9:9" ht="12.75" x14ac:dyDescent="0.35">
      <c r="I913" s="44"/>
    </row>
    <row r="914" spans="9:9" ht="12.75" x14ac:dyDescent="0.35">
      <c r="I914" s="44"/>
    </row>
    <row r="915" spans="9:9" ht="12.75" x14ac:dyDescent="0.35">
      <c r="I915" s="44"/>
    </row>
    <row r="916" spans="9:9" ht="12.75" x14ac:dyDescent="0.35">
      <c r="I916" s="44"/>
    </row>
    <row r="917" spans="9:9" ht="12.75" x14ac:dyDescent="0.35">
      <c r="I917" s="44"/>
    </row>
    <row r="918" spans="9:9" ht="12.75" x14ac:dyDescent="0.35">
      <c r="I918" s="44"/>
    </row>
    <row r="919" spans="9:9" ht="12.75" x14ac:dyDescent="0.35">
      <c r="I919" s="44"/>
    </row>
    <row r="920" spans="9:9" ht="12.75" x14ac:dyDescent="0.35">
      <c r="I920" s="44"/>
    </row>
    <row r="921" spans="9:9" ht="12.75" x14ac:dyDescent="0.35">
      <c r="I921" s="44"/>
    </row>
    <row r="922" spans="9:9" ht="12.75" x14ac:dyDescent="0.35">
      <c r="I922" s="44"/>
    </row>
    <row r="923" spans="9:9" ht="12.75" x14ac:dyDescent="0.35">
      <c r="I923" s="44"/>
    </row>
    <row r="924" spans="9:9" ht="12.75" x14ac:dyDescent="0.35">
      <c r="I924" s="44"/>
    </row>
    <row r="925" spans="9:9" ht="12.75" x14ac:dyDescent="0.35">
      <c r="I925" s="44"/>
    </row>
    <row r="926" spans="9:9" ht="12.75" x14ac:dyDescent="0.35">
      <c r="I926" s="44"/>
    </row>
    <row r="927" spans="9:9" ht="12.75" x14ac:dyDescent="0.35">
      <c r="I927" s="44"/>
    </row>
    <row r="928" spans="9:9" ht="12.75" x14ac:dyDescent="0.35">
      <c r="I928" s="44"/>
    </row>
    <row r="929" spans="9:9" ht="12.75" x14ac:dyDescent="0.35">
      <c r="I929" s="44"/>
    </row>
    <row r="930" spans="9:9" ht="12.75" x14ac:dyDescent="0.35">
      <c r="I930" s="44"/>
    </row>
    <row r="931" spans="9:9" ht="12.75" x14ac:dyDescent="0.35">
      <c r="I931" s="44"/>
    </row>
    <row r="932" spans="9:9" ht="12.75" x14ac:dyDescent="0.35">
      <c r="I932" s="44"/>
    </row>
    <row r="933" spans="9:9" ht="12.75" x14ac:dyDescent="0.35">
      <c r="I933" s="44"/>
    </row>
    <row r="934" spans="9:9" ht="12.75" x14ac:dyDescent="0.35">
      <c r="I934" s="44"/>
    </row>
    <row r="935" spans="9:9" ht="12.75" x14ac:dyDescent="0.35">
      <c r="I935" s="44"/>
    </row>
    <row r="936" spans="9:9" ht="12.75" x14ac:dyDescent="0.35">
      <c r="I936" s="44"/>
    </row>
    <row r="937" spans="9:9" ht="12.75" x14ac:dyDescent="0.35">
      <c r="I937" s="44"/>
    </row>
    <row r="938" spans="9:9" ht="12.75" x14ac:dyDescent="0.35">
      <c r="I938" s="44"/>
    </row>
    <row r="939" spans="9:9" ht="12.75" x14ac:dyDescent="0.35">
      <c r="I939" s="44"/>
    </row>
    <row r="940" spans="9:9" ht="12.75" x14ac:dyDescent="0.35">
      <c r="I940" s="44"/>
    </row>
    <row r="941" spans="9:9" ht="12.75" x14ac:dyDescent="0.35">
      <c r="I941" s="44"/>
    </row>
    <row r="942" spans="9:9" ht="12.75" x14ac:dyDescent="0.35">
      <c r="I942" s="44"/>
    </row>
    <row r="943" spans="9:9" ht="12.75" x14ac:dyDescent="0.35">
      <c r="I943" s="44"/>
    </row>
    <row r="944" spans="9:9" ht="12.75" x14ac:dyDescent="0.35">
      <c r="I944" s="44"/>
    </row>
    <row r="945" spans="9:9" ht="12.75" x14ac:dyDescent="0.35">
      <c r="I945" s="44"/>
    </row>
    <row r="946" spans="9:9" ht="12.75" x14ac:dyDescent="0.35">
      <c r="I946" s="44"/>
    </row>
    <row r="947" spans="9:9" ht="12.75" x14ac:dyDescent="0.35">
      <c r="I947" s="44"/>
    </row>
    <row r="948" spans="9:9" ht="12.75" x14ac:dyDescent="0.35">
      <c r="I948" s="44"/>
    </row>
    <row r="949" spans="9:9" ht="12.75" x14ac:dyDescent="0.35">
      <c r="I949" s="44"/>
    </row>
    <row r="950" spans="9:9" ht="12.75" x14ac:dyDescent="0.35">
      <c r="I950" s="44"/>
    </row>
    <row r="951" spans="9:9" ht="12.75" x14ac:dyDescent="0.35">
      <c r="I951" s="44"/>
    </row>
    <row r="952" spans="9:9" ht="12.75" x14ac:dyDescent="0.35">
      <c r="I952" s="44"/>
    </row>
    <row r="953" spans="9:9" ht="12.75" x14ac:dyDescent="0.35">
      <c r="I953" s="44"/>
    </row>
    <row r="954" spans="9:9" ht="12.75" x14ac:dyDescent="0.35">
      <c r="I954" s="44"/>
    </row>
    <row r="955" spans="9:9" ht="12.75" x14ac:dyDescent="0.35">
      <c r="I955" s="44"/>
    </row>
    <row r="956" spans="9:9" ht="12.75" x14ac:dyDescent="0.35">
      <c r="I956" s="44"/>
    </row>
    <row r="957" spans="9:9" ht="12.75" x14ac:dyDescent="0.35">
      <c r="I957" s="44"/>
    </row>
    <row r="958" spans="9:9" ht="12.75" x14ac:dyDescent="0.35">
      <c r="I958" s="44"/>
    </row>
    <row r="959" spans="9:9" ht="12.75" x14ac:dyDescent="0.35">
      <c r="I959" s="44"/>
    </row>
    <row r="960" spans="9:9" ht="12.75" x14ac:dyDescent="0.35">
      <c r="I960" s="44"/>
    </row>
    <row r="961" spans="9:9" ht="12.75" x14ac:dyDescent="0.35">
      <c r="I961" s="44"/>
    </row>
    <row r="962" spans="9:9" ht="12.75" x14ac:dyDescent="0.35">
      <c r="I962" s="44"/>
    </row>
    <row r="963" spans="9:9" ht="12.75" x14ac:dyDescent="0.35">
      <c r="I963" s="44"/>
    </row>
    <row r="964" spans="9:9" ht="12.75" x14ac:dyDescent="0.35">
      <c r="I964" s="44"/>
    </row>
    <row r="965" spans="9:9" ht="12.75" x14ac:dyDescent="0.35">
      <c r="I965" s="44"/>
    </row>
    <row r="966" spans="9:9" ht="12.75" x14ac:dyDescent="0.35">
      <c r="I966" s="44"/>
    </row>
    <row r="967" spans="9:9" ht="12.75" x14ac:dyDescent="0.35">
      <c r="I967" s="44"/>
    </row>
    <row r="968" spans="9:9" ht="12.75" x14ac:dyDescent="0.35">
      <c r="I968" s="44"/>
    </row>
    <row r="969" spans="9:9" ht="12.75" x14ac:dyDescent="0.35">
      <c r="I969" s="44"/>
    </row>
    <row r="970" spans="9:9" ht="12.75" x14ac:dyDescent="0.35">
      <c r="I970" s="44"/>
    </row>
    <row r="971" spans="9:9" ht="12.75" x14ac:dyDescent="0.35">
      <c r="I971" s="44"/>
    </row>
    <row r="972" spans="9:9" ht="12.75" x14ac:dyDescent="0.35">
      <c r="I972" s="44"/>
    </row>
    <row r="973" spans="9:9" ht="12.75" x14ac:dyDescent="0.35">
      <c r="I973" s="44"/>
    </row>
    <row r="974" spans="9:9" ht="12.75" x14ac:dyDescent="0.35">
      <c r="I974" s="44"/>
    </row>
    <row r="975" spans="9:9" ht="12.75" x14ac:dyDescent="0.35">
      <c r="I975" s="44"/>
    </row>
    <row r="976" spans="9:9" ht="12.75" x14ac:dyDescent="0.35">
      <c r="I976" s="44"/>
    </row>
    <row r="977" spans="9:9" ht="12.75" x14ac:dyDescent="0.35">
      <c r="I977" s="44"/>
    </row>
    <row r="978" spans="9:9" ht="12.75" x14ac:dyDescent="0.35">
      <c r="I978" s="44"/>
    </row>
    <row r="979" spans="9:9" ht="12.75" x14ac:dyDescent="0.35">
      <c r="I979" s="44"/>
    </row>
    <row r="980" spans="9:9" ht="12.75" x14ac:dyDescent="0.35">
      <c r="I980" s="44"/>
    </row>
    <row r="981" spans="9:9" ht="12.75" x14ac:dyDescent="0.35">
      <c r="I981" s="44"/>
    </row>
    <row r="982" spans="9:9" ht="12.75" x14ac:dyDescent="0.35">
      <c r="I982" s="44"/>
    </row>
    <row r="983" spans="9:9" ht="12.75" x14ac:dyDescent="0.35">
      <c r="I983" s="44"/>
    </row>
    <row r="984" spans="9:9" ht="12.75" x14ac:dyDescent="0.35">
      <c r="I984" s="44"/>
    </row>
    <row r="985" spans="9:9" ht="12.75" x14ac:dyDescent="0.35">
      <c r="I985" s="44"/>
    </row>
    <row r="986" spans="9:9" ht="12.75" x14ac:dyDescent="0.35">
      <c r="I986" s="44"/>
    </row>
    <row r="987" spans="9:9" ht="12.75" x14ac:dyDescent="0.35">
      <c r="I987" s="44"/>
    </row>
    <row r="988" spans="9:9" ht="12.75" x14ac:dyDescent="0.35">
      <c r="I988" s="44"/>
    </row>
    <row r="989" spans="9:9" ht="12.75" x14ac:dyDescent="0.35">
      <c r="I989" s="44"/>
    </row>
    <row r="990" spans="9:9" ht="12.75" x14ac:dyDescent="0.35">
      <c r="I990" s="44"/>
    </row>
    <row r="991" spans="9:9" ht="12.75" x14ac:dyDescent="0.35">
      <c r="I991" s="44"/>
    </row>
    <row r="992" spans="9:9" ht="12.75" x14ac:dyDescent="0.35">
      <c r="I992" s="44"/>
    </row>
    <row r="993" spans="9:9" ht="12.75" x14ac:dyDescent="0.35">
      <c r="I993" s="44"/>
    </row>
    <row r="994" spans="9:9" ht="12.75" x14ac:dyDescent="0.35">
      <c r="I994" s="44"/>
    </row>
    <row r="995" spans="9:9" ht="12.75" x14ac:dyDescent="0.35">
      <c r="I995" s="44"/>
    </row>
    <row r="996" spans="9:9" ht="12.75" x14ac:dyDescent="0.35">
      <c r="I996" s="44"/>
    </row>
    <row r="997" spans="9:9" ht="12.75" x14ac:dyDescent="0.35">
      <c r="I997" s="44"/>
    </row>
    <row r="998" spans="9:9" ht="12.75" x14ac:dyDescent="0.35">
      <c r="I998" s="44"/>
    </row>
    <row r="999" spans="9:9" ht="12.75" x14ac:dyDescent="0.35">
      <c r="I999" s="44"/>
    </row>
    <row r="1000" spans="9:9" ht="12.75" x14ac:dyDescent="0.35">
      <c r="I1000" s="44"/>
    </row>
  </sheetData>
  <dataValidations count="3">
    <dataValidation type="list" allowBlank="1" sqref="G3:H59" xr:uid="{00000000-0002-0000-0200-000000000000}">
      <formula1>#REF!</formula1>
    </dataValidation>
    <dataValidation type="list" allowBlank="1" sqref="E3:E59" xr:uid="{00000000-0002-0000-0200-000001000000}">
      <formula1>"Amenidades,Restaurantes,Compras Super,Entretenimiento,Transporte"</formula1>
    </dataValidation>
    <dataValidation type="custom" allowBlank="1" showDropDown="1" sqref="D3:D59" xr:uid="{00000000-0002-0000-0200-000002000000}">
      <formula1>OR(NOT(ISERROR(DATEVALUE(D3))), AND(ISNUMBER(D3), LEFT(CELL("format", D3))="D"))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78E59-FB71-4F11-9AC2-2C4882F43937}">
  <sheetPr>
    <outlinePr summaryBelow="0" summaryRight="0"/>
  </sheetPr>
  <dimension ref="A1:U1000"/>
  <sheetViews>
    <sheetView showGridLines="0" tabSelected="1" workbookViewId="0">
      <selection activeCell="I8" sqref="I8"/>
    </sheetView>
  </sheetViews>
  <sheetFormatPr defaultColWidth="12.59765625" defaultRowHeight="15.75" customHeight="1" x14ac:dyDescent="0.35"/>
  <cols>
    <col min="1" max="1" width="12.06640625" customWidth="1"/>
    <col min="3" max="3" width="15.73046875" customWidth="1"/>
    <col min="4" max="4" width="14.3984375" customWidth="1"/>
    <col min="5" max="5" width="8.1328125" bestFit="1" customWidth="1"/>
    <col min="8" max="8" width="13.73046875" customWidth="1"/>
    <col min="9" max="9" width="14.73046875" customWidth="1"/>
  </cols>
  <sheetData>
    <row r="1" spans="1:21" ht="16.899999999999999" x14ac:dyDescent="0.5">
      <c r="A1" s="1"/>
      <c r="B1" s="1"/>
      <c r="C1" s="2"/>
      <c r="D1" s="2"/>
      <c r="E1" s="3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</row>
    <row r="2" spans="1:21" ht="22.5" customHeight="1" x14ac:dyDescent="0.35">
      <c r="A2" s="5" t="s">
        <v>2</v>
      </c>
      <c r="B2" s="7" t="s">
        <v>1</v>
      </c>
      <c r="C2" s="9" t="s">
        <v>26</v>
      </c>
      <c r="D2" s="9" t="s">
        <v>27</v>
      </c>
      <c r="E2" s="13" t="s">
        <v>28</v>
      </c>
      <c r="F2" s="12" t="s">
        <v>29</v>
      </c>
      <c r="G2" s="14" t="s">
        <v>30</v>
      </c>
      <c r="H2" s="12" t="s">
        <v>31</v>
      </c>
      <c r="I2" s="15" t="s">
        <v>32</v>
      </c>
    </row>
    <row r="3" spans="1:21" ht="22.5" customHeight="1" x14ac:dyDescent="0.35">
      <c r="A3" s="16" t="s">
        <v>8</v>
      </c>
      <c r="B3" s="16" t="str">
        <f t="array" ref="B3">_xlfn.XLOOKUP(A3,Trips[ID],Trips[Trip],"",0)</f>
        <v>SPS Sep 2026</v>
      </c>
      <c r="C3" s="19" t="s">
        <v>21</v>
      </c>
      <c r="D3" s="20" t="s">
        <v>16</v>
      </c>
      <c r="E3" s="28" t="s">
        <v>39</v>
      </c>
      <c r="F3" s="22">
        <v>27</v>
      </c>
      <c r="G3" s="23">
        <v>4414.09</v>
      </c>
      <c r="H3" s="22">
        <f t="shared" ref="H3:H5" si="0">IF(E3="$", F3, 1) * G3</f>
        <v>4414.09</v>
      </c>
      <c r="I3" s="24">
        <f t="shared" ref="I3:I5" si="1">G3 / IF(E3="$", 1, F3)</f>
        <v>163.48481481481483</v>
      </c>
    </row>
    <row r="4" spans="1:21" ht="22.5" customHeight="1" x14ac:dyDescent="0.35">
      <c r="A4" s="25" t="s">
        <v>8</v>
      </c>
      <c r="B4" s="25" t="str">
        <f t="array" ref="B4">_xlfn.XLOOKUP(A4,Trips[ID],Trips[Trip],"",0)</f>
        <v>SPS Sep 2026</v>
      </c>
      <c r="C4" s="27" t="s">
        <v>18</v>
      </c>
      <c r="D4" s="20" t="s">
        <v>16</v>
      </c>
      <c r="E4" s="28" t="s">
        <v>39</v>
      </c>
      <c r="F4" s="22">
        <v>27</v>
      </c>
      <c r="G4" s="29">
        <v>2098</v>
      </c>
      <c r="H4" s="30">
        <f t="shared" si="0"/>
        <v>2098</v>
      </c>
      <c r="I4" s="31">
        <f t="shared" si="1"/>
        <v>77.703703703703709</v>
      </c>
    </row>
    <row r="5" spans="1:21" ht="22.5" customHeight="1" x14ac:dyDescent="0.35">
      <c r="A5" s="16" t="s">
        <v>8</v>
      </c>
      <c r="B5" s="16" t="str">
        <f t="array" ref="B5">_xlfn.XLOOKUP(A5,Trips[ID],Trips[Trip],"",0)</f>
        <v>SPS Sep 2026</v>
      </c>
      <c r="C5" s="33" t="s">
        <v>13</v>
      </c>
      <c r="D5" s="20" t="s">
        <v>16</v>
      </c>
      <c r="E5" s="21" t="s">
        <v>39</v>
      </c>
      <c r="F5" s="22">
        <v>27</v>
      </c>
      <c r="G5" s="23">
        <v>3000</v>
      </c>
      <c r="H5" s="22">
        <f t="shared" si="0"/>
        <v>3000</v>
      </c>
      <c r="I5" s="24">
        <f t="shared" si="1"/>
        <v>111.11111111111111</v>
      </c>
    </row>
    <row r="6" spans="1:21" ht="22.5" customHeight="1" x14ac:dyDescent="0.35">
      <c r="E6" s="44"/>
    </row>
    <row r="7" spans="1:21" ht="22.5" customHeight="1" x14ac:dyDescent="0.35">
      <c r="E7" s="44"/>
    </row>
    <row r="8" spans="1:21" ht="22.5" customHeight="1" x14ac:dyDescent="0.35">
      <c r="E8" s="44"/>
    </row>
    <row r="9" spans="1:21" ht="22.5" customHeight="1" x14ac:dyDescent="0.35">
      <c r="E9" s="44"/>
    </row>
    <row r="10" spans="1:21" ht="22.5" customHeight="1" x14ac:dyDescent="0.35">
      <c r="E10" s="44"/>
    </row>
    <row r="11" spans="1:21" ht="22.5" customHeight="1" x14ac:dyDescent="0.35">
      <c r="E11" s="44"/>
    </row>
    <row r="12" spans="1:21" ht="22.5" customHeight="1" x14ac:dyDescent="0.35">
      <c r="E12" s="44"/>
    </row>
    <row r="13" spans="1:21" ht="22.5" customHeight="1" x14ac:dyDescent="0.35">
      <c r="E13" s="44"/>
    </row>
    <row r="14" spans="1:21" ht="22.5" customHeight="1" x14ac:dyDescent="0.35">
      <c r="E14" s="44"/>
    </row>
    <row r="15" spans="1:21" ht="22.5" customHeight="1" x14ac:dyDescent="0.35">
      <c r="E15" s="44"/>
    </row>
    <row r="16" spans="1:21" ht="22.5" customHeight="1" x14ac:dyDescent="0.35">
      <c r="E16" s="44"/>
    </row>
    <row r="17" spans="5:5" ht="22.5" customHeight="1" x14ac:dyDescent="0.35">
      <c r="E17" s="44"/>
    </row>
    <row r="18" spans="5:5" ht="22.5" customHeight="1" x14ac:dyDescent="0.35">
      <c r="E18" s="44"/>
    </row>
    <row r="19" spans="5:5" ht="22.5" customHeight="1" x14ac:dyDescent="0.35">
      <c r="E19" s="44"/>
    </row>
    <row r="20" spans="5:5" ht="22.5" customHeight="1" x14ac:dyDescent="0.35">
      <c r="E20" s="44"/>
    </row>
    <row r="21" spans="5:5" ht="22.5" customHeight="1" x14ac:dyDescent="0.35">
      <c r="E21" s="44"/>
    </row>
    <row r="22" spans="5:5" ht="22.5" customHeight="1" x14ac:dyDescent="0.35">
      <c r="E22" s="44"/>
    </row>
    <row r="23" spans="5:5" ht="22.5" customHeight="1" x14ac:dyDescent="0.35">
      <c r="E23" s="44"/>
    </row>
    <row r="24" spans="5:5" ht="22.5" customHeight="1" x14ac:dyDescent="0.35">
      <c r="E24" s="44"/>
    </row>
    <row r="25" spans="5:5" ht="22.5" customHeight="1" x14ac:dyDescent="0.35">
      <c r="E25" s="44"/>
    </row>
    <row r="26" spans="5:5" ht="22.5" customHeight="1" x14ac:dyDescent="0.35">
      <c r="E26" s="44"/>
    </row>
    <row r="27" spans="5:5" ht="22.5" customHeight="1" x14ac:dyDescent="0.35">
      <c r="E27" s="44"/>
    </row>
    <row r="28" spans="5:5" ht="22.5" customHeight="1" x14ac:dyDescent="0.35">
      <c r="E28" s="44"/>
    </row>
    <row r="29" spans="5:5" ht="22.5" customHeight="1" x14ac:dyDescent="0.35">
      <c r="E29" s="44"/>
    </row>
    <row r="30" spans="5:5" ht="22.5" customHeight="1" x14ac:dyDescent="0.35">
      <c r="E30" s="44"/>
    </row>
    <row r="31" spans="5:5" ht="22.5" customHeight="1" x14ac:dyDescent="0.35">
      <c r="E31" s="44"/>
    </row>
    <row r="32" spans="5:5" ht="22.5" customHeight="1" x14ac:dyDescent="0.35">
      <c r="E32" s="44"/>
    </row>
    <row r="33" spans="5:5" ht="22.5" customHeight="1" x14ac:dyDescent="0.35">
      <c r="E33" s="44"/>
    </row>
    <row r="34" spans="5:5" ht="22.5" customHeight="1" x14ac:dyDescent="0.35">
      <c r="E34" s="44"/>
    </row>
    <row r="35" spans="5:5" ht="22.5" customHeight="1" x14ac:dyDescent="0.35">
      <c r="E35" s="44"/>
    </row>
    <row r="36" spans="5:5" ht="22.5" customHeight="1" x14ac:dyDescent="0.35">
      <c r="E36" s="44"/>
    </row>
    <row r="37" spans="5:5" ht="22.5" customHeight="1" x14ac:dyDescent="0.35">
      <c r="E37" s="44"/>
    </row>
    <row r="38" spans="5:5" ht="22.5" customHeight="1" x14ac:dyDescent="0.35">
      <c r="E38" s="44"/>
    </row>
    <row r="39" spans="5:5" ht="22.5" customHeight="1" x14ac:dyDescent="0.35">
      <c r="E39" s="44"/>
    </row>
    <row r="40" spans="5:5" ht="22.5" customHeight="1" x14ac:dyDescent="0.35">
      <c r="E40" s="44"/>
    </row>
    <row r="41" spans="5:5" ht="22.5" customHeight="1" x14ac:dyDescent="0.35">
      <c r="E41" s="44"/>
    </row>
    <row r="42" spans="5:5" ht="22.5" customHeight="1" x14ac:dyDescent="0.35">
      <c r="E42" s="44"/>
    </row>
    <row r="43" spans="5:5" ht="22.5" customHeight="1" x14ac:dyDescent="0.35">
      <c r="E43" s="44"/>
    </row>
    <row r="44" spans="5:5" ht="22.5" customHeight="1" x14ac:dyDescent="0.35">
      <c r="E44" s="44"/>
    </row>
    <row r="45" spans="5:5" ht="22.5" customHeight="1" x14ac:dyDescent="0.35">
      <c r="E45" s="44"/>
    </row>
    <row r="46" spans="5:5" ht="22.5" customHeight="1" x14ac:dyDescent="0.35">
      <c r="E46" s="44"/>
    </row>
    <row r="47" spans="5:5" ht="22.5" customHeight="1" x14ac:dyDescent="0.35">
      <c r="E47" s="44"/>
    </row>
    <row r="48" spans="5:5" ht="22.5" customHeight="1" x14ac:dyDescent="0.35">
      <c r="E48" s="44"/>
    </row>
    <row r="49" spans="5:5" ht="22.5" customHeight="1" x14ac:dyDescent="0.35">
      <c r="E49" s="44"/>
    </row>
    <row r="50" spans="5:5" ht="22.5" customHeight="1" x14ac:dyDescent="0.35">
      <c r="E50" s="44"/>
    </row>
    <row r="51" spans="5:5" ht="22.5" customHeight="1" x14ac:dyDescent="0.35">
      <c r="E51" s="44"/>
    </row>
    <row r="52" spans="5:5" ht="22.5" customHeight="1" x14ac:dyDescent="0.35">
      <c r="E52" s="44"/>
    </row>
    <row r="53" spans="5:5" ht="22.5" customHeight="1" x14ac:dyDescent="0.35">
      <c r="E53" s="44"/>
    </row>
    <row r="54" spans="5:5" ht="22.5" customHeight="1" x14ac:dyDescent="0.35">
      <c r="E54" s="44"/>
    </row>
    <row r="55" spans="5:5" ht="22.5" customHeight="1" x14ac:dyDescent="0.35">
      <c r="E55" s="44"/>
    </row>
    <row r="56" spans="5:5" ht="22.5" customHeight="1" x14ac:dyDescent="0.35">
      <c r="E56" s="44"/>
    </row>
    <row r="57" spans="5:5" ht="22.5" customHeight="1" x14ac:dyDescent="0.35">
      <c r="E57" s="44"/>
    </row>
    <row r="58" spans="5:5" ht="22.5" customHeight="1" x14ac:dyDescent="0.35">
      <c r="E58" s="44"/>
    </row>
    <row r="59" spans="5:5" ht="22.5" customHeight="1" x14ac:dyDescent="0.35">
      <c r="E59" s="44"/>
    </row>
    <row r="60" spans="5:5" ht="12.75" x14ac:dyDescent="0.35">
      <c r="E60" s="44"/>
    </row>
    <row r="61" spans="5:5" ht="12.75" x14ac:dyDescent="0.35">
      <c r="E61" s="44"/>
    </row>
    <row r="62" spans="5:5" ht="12.75" x14ac:dyDescent="0.35">
      <c r="E62" s="44"/>
    </row>
    <row r="63" spans="5:5" ht="12.75" x14ac:dyDescent="0.35">
      <c r="E63" s="44"/>
    </row>
    <row r="64" spans="5:5" ht="12.75" x14ac:dyDescent="0.35">
      <c r="E64" s="44"/>
    </row>
    <row r="65" spans="5:5" ht="12.75" x14ac:dyDescent="0.35">
      <c r="E65" s="44"/>
    </row>
    <row r="66" spans="5:5" ht="12.75" x14ac:dyDescent="0.35">
      <c r="E66" s="44"/>
    </row>
    <row r="67" spans="5:5" ht="12.75" x14ac:dyDescent="0.35">
      <c r="E67" s="44"/>
    </row>
    <row r="68" spans="5:5" ht="12.75" x14ac:dyDescent="0.35">
      <c r="E68" s="44"/>
    </row>
    <row r="69" spans="5:5" ht="12.75" x14ac:dyDescent="0.35">
      <c r="E69" s="44"/>
    </row>
    <row r="70" spans="5:5" ht="12.75" x14ac:dyDescent="0.35">
      <c r="E70" s="44"/>
    </row>
    <row r="71" spans="5:5" ht="12.75" x14ac:dyDescent="0.35">
      <c r="E71" s="44"/>
    </row>
    <row r="72" spans="5:5" ht="12.75" x14ac:dyDescent="0.35">
      <c r="E72" s="44"/>
    </row>
    <row r="73" spans="5:5" ht="12.75" x14ac:dyDescent="0.35">
      <c r="E73" s="44"/>
    </row>
    <row r="74" spans="5:5" ht="12.75" x14ac:dyDescent="0.35">
      <c r="E74" s="44"/>
    </row>
    <row r="75" spans="5:5" ht="12.75" x14ac:dyDescent="0.35">
      <c r="E75" s="44"/>
    </row>
    <row r="76" spans="5:5" ht="12.75" x14ac:dyDescent="0.35">
      <c r="E76" s="44"/>
    </row>
    <row r="77" spans="5:5" ht="12.75" x14ac:dyDescent="0.35">
      <c r="E77" s="44"/>
    </row>
    <row r="78" spans="5:5" ht="12.75" x14ac:dyDescent="0.35">
      <c r="E78" s="44"/>
    </row>
    <row r="79" spans="5:5" ht="12.75" x14ac:dyDescent="0.35">
      <c r="E79" s="44"/>
    </row>
    <row r="80" spans="5:5" ht="12.75" x14ac:dyDescent="0.35">
      <c r="E80" s="44"/>
    </row>
    <row r="81" spans="5:5" ht="12.75" x14ac:dyDescent="0.35">
      <c r="E81" s="44"/>
    </row>
    <row r="82" spans="5:5" ht="12.75" x14ac:dyDescent="0.35">
      <c r="E82" s="44"/>
    </row>
    <row r="83" spans="5:5" ht="12.75" x14ac:dyDescent="0.35">
      <c r="E83" s="44"/>
    </row>
    <row r="84" spans="5:5" ht="12.75" x14ac:dyDescent="0.35">
      <c r="E84" s="44"/>
    </row>
    <row r="85" spans="5:5" ht="12.75" x14ac:dyDescent="0.35">
      <c r="E85" s="44"/>
    </row>
    <row r="86" spans="5:5" ht="12.75" x14ac:dyDescent="0.35">
      <c r="E86" s="44"/>
    </row>
    <row r="87" spans="5:5" ht="12.75" x14ac:dyDescent="0.35">
      <c r="E87" s="44"/>
    </row>
    <row r="88" spans="5:5" ht="12.75" x14ac:dyDescent="0.35">
      <c r="E88" s="44"/>
    </row>
    <row r="89" spans="5:5" ht="12.75" x14ac:dyDescent="0.35">
      <c r="E89" s="44"/>
    </row>
    <row r="90" spans="5:5" ht="12.75" x14ac:dyDescent="0.35">
      <c r="E90" s="44"/>
    </row>
    <row r="91" spans="5:5" ht="12.75" x14ac:dyDescent="0.35">
      <c r="E91" s="44"/>
    </row>
    <row r="92" spans="5:5" ht="12.75" x14ac:dyDescent="0.35">
      <c r="E92" s="44"/>
    </row>
    <row r="93" spans="5:5" ht="12.75" x14ac:dyDescent="0.35">
      <c r="E93" s="44"/>
    </row>
    <row r="94" spans="5:5" ht="12.75" x14ac:dyDescent="0.35">
      <c r="E94" s="44"/>
    </row>
    <row r="95" spans="5:5" ht="12.75" x14ac:dyDescent="0.35">
      <c r="E95" s="44"/>
    </row>
    <row r="96" spans="5:5" ht="12.75" x14ac:dyDescent="0.35">
      <c r="E96" s="44"/>
    </row>
    <row r="97" spans="5:5" ht="12.75" x14ac:dyDescent="0.35">
      <c r="E97" s="44"/>
    </row>
    <row r="98" spans="5:5" ht="12.75" x14ac:dyDescent="0.35">
      <c r="E98" s="44"/>
    </row>
    <row r="99" spans="5:5" ht="12.75" x14ac:dyDescent="0.35">
      <c r="E99" s="44"/>
    </row>
    <row r="100" spans="5:5" ht="12.75" x14ac:dyDescent="0.35">
      <c r="E100" s="44"/>
    </row>
    <row r="101" spans="5:5" ht="12.75" x14ac:dyDescent="0.35">
      <c r="E101" s="44"/>
    </row>
    <row r="102" spans="5:5" ht="12.75" x14ac:dyDescent="0.35">
      <c r="E102" s="44"/>
    </row>
    <row r="103" spans="5:5" ht="12.75" x14ac:dyDescent="0.35">
      <c r="E103" s="44"/>
    </row>
    <row r="104" spans="5:5" ht="12.75" x14ac:dyDescent="0.35">
      <c r="E104" s="44"/>
    </row>
    <row r="105" spans="5:5" ht="12.75" x14ac:dyDescent="0.35">
      <c r="E105" s="44"/>
    </row>
    <row r="106" spans="5:5" ht="12.75" x14ac:dyDescent="0.35">
      <c r="E106" s="44"/>
    </row>
    <row r="107" spans="5:5" ht="12.75" x14ac:dyDescent="0.35">
      <c r="E107" s="44"/>
    </row>
    <row r="108" spans="5:5" ht="12.75" x14ac:dyDescent="0.35">
      <c r="E108" s="44"/>
    </row>
    <row r="109" spans="5:5" ht="12.75" x14ac:dyDescent="0.35">
      <c r="E109" s="44"/>
    </row>
    <row r="110" spans="5:5" ht="12.75" x14ac:dyDescent="0.35">
      <c r="E110" s="44"/>
    </row>
    <row r="111" spans="5:5" ht="12.75" x14ac:dyDescent="0.35">
      <c r="E111" s="44"/>
    </row>
    <row r="112" spans="5:5" ht="12.75" x14ac:dyDescent="0.35">
      <c r="E112" s="44"/>
    </row>
    <row r="113" spans="5:5" ht="12.75" x14ac:dyDescent="0.35">
      <c r="E113" s="44"/>
    </row>
    <row r="114" spans="5:5" ht="12.75" x14ac:dyDescent="0.35">
      <c r="E114" s="44"/>
    </row>
    <row r="115" spans="5:5" ht="12.75" x14ac:dyDescent="0.35">
      <c r="E115" s="44"/>
    </row>
    <row r="116" spans="5:5" ht="12.75" x14ac:dyDescent="0.35">
      <c r="E116" s="44"/>
    </row>
    <row r="117" spans="5:5" ht="12.75" x14ac:dyDescent="0.35">
      <c r="E117" s="44"/>
    </row>
    <row r="118" spans="5:5" ht="12.75" x14ac:dyDescent="0.35">
      <c r="E118" s="44"/>
    </row>
    <row r="119" spans="5:5" ht="12.75" x14ac:dyDescent="0.35">
      <c r="E119" s="44"/>
    </row>
    <row r="120" spans="5:5" ht="12.75" x14ac:dyDescent="0.35">
      <c r="E120" s="44"/>
    </row>
    <row r="121" spans="5:5" ht="12.75" x14ac:dyDescent="0.35">
      <c r="E121" s="44"/>
    </row>
    <row r="122" spans="5:5" ht="12.75" x14ac:dyDescent="0.35">
      <c r="E122" s="44"/>
    </row>
    <row r="123" spans="5:5" ht="12.75" x14ac:dyDescent="0.35">
      <c r="E123" s="44"/>
    </row>
    <row r="124" spans="5:5" ht="12.75" x14ac:dyDescent="0.35">
      <c r="E124" s="44"/>
    </row>
    <row r="125" spans="5:5" ht="12.75" x14ac:dyDescent="0.35">
      <c r="E125" s="44"/>
    </row>
    <row r="126" spans="5:5" ht="12.75" x14ac:dyDescent="0.35">
      <c r="E126" s="44"/>
    </row>
    <row r="127" spans="5:5" ht="12.75" x14ac:dyDescent="0.35">
      <c r="E127" s="44"/>
    </row>
    <row r="128" spans="5:5" ht="12.75" x14ac:dyDescent="0.35">
      <c r="E128" s="44"/>
    </row>
    <row r="129" spans="5:5" ht="12.75" x14ac:dyDescent="0.35">
      <c r="E129" s="44"/>
    </row>
    <row r="130" spans="5:5" ht="12.75" x14ac:dyDescent="0.35">
      <c r="E130" s="44"/>
    </row>
    <row r="131" spans="5:5" ht="12.75" x14ac:dyDescent="0.35">
      <c r="E131" s="44"/>
    </row>
    <row r="132" spans="5:5" ht="12.75" x14ac:dyDescent="0.35">
      <c r="E132" s="44"/>
    </row>
    <row r="133" spans="5:5" ht="12.75" x14ac:dyDescent="0.35">
      <c r="E133" s="44"/>
    </row>
    <row r="134" spans="5:5" ht="12.75" x14ac:dyDescent="0.35">
      <c r="E134" s="44"/>
    </row>
    <row r="135" spans="5:5" ht="12.75" x14ac:dyDescent="0.35">
      <c r="E135" s="44"/>
    </row>
    <row r="136" spans="5:5" ht="12.75" x14ac:dyDescent="0.35">
      <c r="E136" s="44"/>
    </row>
    <row r="137" spans="5:5" ht="12.75" x14ac:dyDescent="0.35">
      <c r="E137" s="44"/>
    </row>
    <row r="138" spans="5:5" ht="12.75" x14ac:dyDescent="0.35">
      <c r="E138" s="44"/>
    </row>
    <row r="139" spans="5:5" ht="12.75" x14ac:dyDescent="0.35">
      <c r="E139" s="44"/>
    </row>
    <row r="140" spans="5:5" ht="12.75" x14ac:dyDescent="0.35">
      <c r="E140" s="44"/>
    </row>
    <row r="141" spans="5:5" ht="12.75" x14ac:dyDescent="0.35">
      <c r="E141" s="44"/>
    </row>
    <row r="142" spans="5:5" ht="12.75" x14ac:dyDescent="0.35">
      <c r="E142" s="44"/>
    </row>
    <row r="143" spans="5:5" ht="12.75" x14ac:dyDescent="0.35">
      <c r="E143" s="44"/>
    </row>
    <row r="144" spans="5:5" ht="12.75" x14ac:dyDescent="0.35">
      <c r="E144" s="44"/>
    </row>
    <row r="145" spans="5:5" ht="12.75" x14ac:dyDescent="0.35">
      <c r="E145" s="44"/>
    </row>
    <row r="146" spans="5:5" ht="12.75" x14ac:dyDescent="0.35">
      <c r="E146" s="44"/>
    </row>
    <row r="147" spans="5:5" ht="12.75" x14ac:dyDescent="0.35">
      <c r="E147" s="44"/>
    </row>
    <row r="148" spans="5:5" ht="12.75" x14ac:dyDescent="0.35">
      <c r="E148" s="44"/>
    </row>
    <row r="149" spans="5:5" ht="12.75" x14ac:dyDescent="0.35">
      <c r="E149" s="44"/>
    </row>
    <row r="150" spans="5:5" ht="12.75" x14ac:dyDescent="0.35">
      <c r="E150" s="44"/>
    </row>
    <row r="151" spans="5:5" ht="12.75" x14ac:dyDescent="0.35">
      <c r="E151" s="44"/>
    </row>
    <row r="152" spans="5:5" ht="12.75" x14ac:dyDescent="0.35">
      <c r="E152" s="44"/>
    </row>
    <row r="153" spans="5:5" ht="12.75" x14ac:dyDescent="0.35">
      <c r="E153" s="44"/>
    </row>
    <row r="154" spans="5:5" ht="12.75" x14ac:dyDescent="0.35">
      <c r="E154" s="44"/>
    </row>
    <row r="155" spans="5:5" ht="12.75" x14ac:dyDescent="0.35">
      <c r="E155" s="44"/>
    </row>
    <row r="156" spans="5:5" ht="12.75" x14ac:dyDescent="0.35">
      <c r="E156" s="44"/>
    </row>
    <row r="157" spans="5:5" ht="12.75" x14ac:dyDescent="0.35">
      <c r="E157" s="44"/>
    </row>
    <row r="158" spans="5:5" ht="12.75" x14ac:dyDescent="0.35">
      <c r="E158" s="44"/>
    </row>
    <row r="159" spans="5:5" ht="12.75" x14ac:dyDescent="0.35">
      <c r="E159" s="44"/>
    </row>
    <row r="160" spans="5:5" ht="12.75" x14ac:dyDescent="0.35">
      <c r="E160" s="44"/>
    </row>
    <row r="161" spans="5:5" ht="12.75" x14ac:dyDescent="0.35">
      <c r="E161" s="44"/>
    </row>
    <row r="162" spans="5:5" ht="12.75" x14ac:dyDescent="0.35">
      <c r="E162" s="44"/>
    </row>
    <row r="163" spans="5:5" ht="12.75" x14ac:dyDescent="0.35">
      <c r="E163" s="44"/>
    </row>
    <row r="164" spans="5:5" ht="12.75" x14ac:dyDescent="0.35">
      <c r="E164" s="44"/>
    </row>
    <row r="165" spans="5:5" ht="12.75" x14ac:dyDescent="0.35">
      <c r="E165" s="44"/>
    </row>
    <row r="166" spans="5:5" ht="12.75" x14ac:dyDescent="0.35">
      <c r="E166" s="44"/>
    </row>
    <row r="167" spans="5:5" ht="12.75" x14ac:dyDescent="0.35">
      <c r="E167" s="44"/>
    </row>
    <row r="168" spans="5:5" ht="12.75" x14ac:dyDescent="0.35">
      <c r="E168" s="44"/>
    </row>
    <row r="169" spans="5:5" ht="12.75" x14ac:dyDescent="0.35">
      <c r="E169" s="44"/>
    </row>
    <row r="170" spans="5:5" ht="12.75" x14ac:dyDescent="0.35">
      <c r="E170" s="44"/>
    </row>
    <row r="171" spans="5:5" ht="12.75" x14ac:dyDescent="0.35">
      <c r="E171" s="44"/>
    </row>
    <row r="172" spans="5:5" ht="12.75" x14ac:dyDescent="0.35">
      <c r="E172" s="44"/>
    </row>
    <row r="173" spans="5:5" ht="12.75" x14ac:dyDescent="0.35">
      <c r="E173" s="44"/>
    </row>
    <row r="174" spans="5:5" ht="12.75" x14ac:dyDescent="0.35">
      <c r="E174" s="44"/>
    </row>
    <row r="175" spans="5:5" ht="12.75" x14ac:dyDescent="0.35">
      <c r="E175" s="44"/>
    </row>
    <row r="176" spans="5:5" ht="12.75" x14ac:dyDescent="0.35">
      <c r="E176" s="44"/>
    </row>
    <row r="177" spans="5:5" ht="12.75" x14ac:dyDescent="0.35">
      <c r="E177" s="44"/>
    </row>
    <row r="178" spans="5:5" ht="12.75" x14ac:dyDescent="0.35">
      <c r="E178" s="44"/>
    </row>
    <row r="179" spans="5:5" ht="12.75" x14ac:dyDescent="0.35">
      <c r="E179" s="44"/>
    </row>
    <row r="180" spans="5:5" ht="12.75" x14ac:dyDescent="0.35">
      <c r="E180" s="44"/>
    </row>
    <row r="181" spans="5:5" ht="12.75" x14ac:dyDescent="0.35">
      <c r="E181" s="44"/>
    </row>
    <row r="182" spans="5:5" ht="12.75" x14ac:dyDescent="0.35">
      <c r="E182" s="44"/>
    </row>
    <row r="183" spans="5:5" ht="12.75" x14ac:dyDescent="0.35">
      <c r="E183" s="44"/>
    </row>
    <row r="184" spans="5:5" ht="12.75" x14ac:dyDescent="0.35">
      <c r="E184" s="44"/>
    </row>
    <row r="185" spans="5:5" ht="12.75" x14ac:dyDescent="0.35">
      <c r="E185" s="44"/>
    </row>
    <row r="186" spans="5:5" ht="12.75" x14ac:dyDescent="0.35">
      <c r="E186" s="44"/>
    </row>
    <row r="187" spans="5:5" ht="12.75" x14ac:dyDescent="0.35">
      <c r="E187" s="44"/>
    </row>
    <row r="188" spans="5:5" ht="12.75" x14ac:dyDescent="0.35">
      <c r="E188" s="44"/>
    </row>
    <row r="189" spans="5:5" ht="12.75" x14ac:dyDescent="0.35">
      <c r="E189" s="44"/>
    </row>
    <row r="190" spans="5:5" ht="12.75" x14ac:dyDescent="0.35">
      <c r="E190" s="44"/>
    </row>
    <row r="191" spans="5:5" ht="12.75" x14ac:dyDescent="0.35">
      <c r="E191" s="44"/>
    </row>
    <row r="192" spans="5:5" ht="12.75" x14ac:dyDescent="0.35">
      <c r="E192" s="44"/>
    </row>
    <row r="193" spans="5:5" ht="12.75" x14ac:dyDescent="0.35">
      <c r="E193" s="44"/>
    </row>
    <row r="194" spans="5:5" ht="12.75" x14ac:dyDescent="0.35">
      <c r="E194" s="44"/>
    </row>
    <row r="195" spans="5:5" ht="12.75" x14ac:dyDescent="0.35">
      <c r="E195" s="44"/>
    </row>
    <row r="196" spans="5:5" ht="12.75" x14ac:dyDescent="0.35">
      <c r="E196" s="44"/>
    </row>
    <row r="197" spans="5:5" ht="12.75" x14ac:dyDescent="0.35">
      <c r="E197" s="44"/>
    </row>
    <row r="198" spans="5:5" ht="12.75" x14ac:dyDescent="0.35">
      <c r="E198" s="44"/>
    </row>
    <row r="199" spans="5:5" ht="12.75" x14ac:dyDescent="0.35">
      <c r="E199" s="44"/>
    </row>
    <row r="200" spans="5:5" ht="12.75" x14ac:dyDescent="0.35">
      <c r="E200" s="44"/>
    </row>
    <row r="201" spans="5:5" ht="12.75" x14ac:dyDescent="0.35">
      <c r="E201" s="44"/>
    </row>
    <row r="202" spans="5:5" ht="12.75" x14ac:dyDescent="0.35">
      <c r="E202" s="44"/>
    </row>
    <row r="203" spans="5:5" ht="12.75" x14ac:dyDescent="0.35">
      <c r="E203" s="44"/>
    </row>
    <row r="204" spans="5:5" ht="12.75" x14ac:dyDescent="0.35">
      <c r="E204" s="44"/>
    </row>
    <row r="205" spans="5:5" ht="12.75" x14ac:dyDescent="0.35">
      <c r="E205" s="44"/>
    </row>
    <row r="206" spans="5:5" ht="12.75" x14ac:dyDescent="0.35">
      <c r="E206" s="44"/>
    </row>
    <row r="207" spans="5:5" ht="12.75" x14ac:dyDescent="0.35">
      <c r="E207" s="44"/>
    </row>
    <row r="208" spans="5:5" ht="12.75" x14ac:dyDescent="0.35">
      <c r="E208" s="44"/>
    </row>
    <row r="209" spans="5:5" ht="12.75" x14ac:dyDescent="0.35">
      <c r="E209" s="44"/>
    </row>
    <row r="210" spans="5:5" ht="12.75" x14ac:dyDescent="0.35">
      <c r="E210" s="44"/>
    </row>
    <row r="211" spans="5:5" ht="12.75" x14ac:dyDescent="0.35">
      <c r="E211" s="44"/>
    </row>
    <row r="212" spans="5:5" ht="12.75" x14ac:dyDescent="0.35">
      <c r="E212" s="44"/>
    </row>
    <row r="213" spans="5:5" ht="12.75" x14ac:dyDescent="0.35">
      <c r="E213" s="44"/>
    </row>
    <row r="214" spans="5:5" ht="12.75" x14ac:dyDescent="0.35">
      <c r="E214" s="44"/>
    </row>
    <row r="215" spans="5:5" ht="12.75" x14ac:dyDescent="0.35">
      <c r="E215" s="44"/>
    </row>
    <row r="216" spans="5:5" ht="12.75" x14ac:dyDescent="0.35">
      <c r="E216" s="44"/>
    </row>
    <row r="217" spans="5:5" ht="12.75" x14ac:dyDescent="0.35">
      <c r="E217" s="44"/>
    </row>
    <row r="218" spans="5:5" ht="12.75" x14ac:dyDescent="0.35">
      <c r="E218" s="44"/>
    </row>
    <row r="219" spans="5:5" ht="12.75" x14ac:dyDescent="0.35">
      <c r="E219" s="44"/>
    </row>
    <row r="220" spans="5:5" ht="12.75" x14ac:dyDescent="0.35">
      <c r="E220" s="44"/>
    </row>
    <row r="221" spans="5:5" ht="12.75" x14ac:dyDescent="0.35">
      <c r="E221" s="44"/>
    </row>
    <row r="222" spans="5:5" ht="12.75" x14ac:dyDescent="0.35">
      <c r="E222" s="44"/>
    </row>
    <row r="223" spans="5:5" ht="12.75" x14ac:dyDescent="0.35">
      <c r="E223" s="44"/>
    </row>
    <row r="224" spans="5:5" ht="12.75" x14ac:dyDescent="0.35">
      <c r="E224" s="44"/>
    </row>
    <row r="225" spans="5:5" ht="12.75" x14ac:dyDescent="0.35">
      <c r="E225" s="44"/>
    </row>
    <row r="226" spans="5:5" ht="12.75" x14ac:dyDescent="0.35">
      <c r="E226" s="44"/>
    </row>
    <row r="227" spans="5:5" ht="12.75" x14ac:dyDescent="0.35">
      <c r="E227" s="44"/>
    </row>
    <row r="228" spans="5:5" ht="12.75" x14ac:dyDescent="0.35">
      <c r="E228" s="44"/>
    </row>
    <row r="229" spans="5:5" ht="12.75" x14ac:dyDescent="0.35">
      <c r="E229" s="44"/>
    </row>
    <row r="230" spans="5:5" ht="12.75" x14ac:dyDescent="0.35">
      <c r="E230" s="44"/>
    </row>
    <row r="231" spans="5:5" ht="12.75" x14ac:dyDescent="0.35">
      <c r="E231" s="44"/>
    </row>
    <row r="232" spans="5:5" ht="12.75" x14ac:dyDescent="0.35">
      <c r="E232" s="44"/>
    </row>
    <row r="233" spans="5:5" ht="12.75" x14ac:dyDescent="0.35">
      <c r="E233" s="44"/>
    </row>
    <row r="234" spans="5:5" ht="12.75" x14ac:dyDescent="0.35">
      <c r="E234" s="44"/>
    </row>
    <row r="235" spans="5:5" ht="12.75" x14ac:dyDescent="0.35">
      <c r="E235" s="44"/>
    </row>
    <row r="236" spans="5:5" ht="12.75" x14ac:dyDescent="0.35">
      <c r="E236" s="44"/>
    </row>
    <row r="237" spans="5:5" ht="12.75" x14ac:dyDescent="0.35">
      <c r="E237" s="44"/>
    </row>
    <row r="238" spans="5:5" ht="12.75" x14ac:dyDescent="0.35">
      <c r="E238" s="44"/>
    </row>
    <row r="239" spans="5:5" ht="12.75" x14ac:dyDescent="0.35">
      <c r="E239" s="44"/>
    </row>
    <row r="240" spans="5:5" ht="12.75" x14ac:dyDescent="0.35">
      <c r="E240" s="44"/>
    </row>
    <row r="241" spans="5:5" ht="12.75" x14ac:dyDescent="0.35">
      <c r="E241" s="44"/>
    </row>
    <row r="242" spans="5:5" ht="12.75" x14ac:dyDescent="0.35">
      <c r="E242" s="44"/>
    </row>
    <row r="243" spans="5:5" ht="12.75" x14ac:dyDescent="0.35">
      <c r="E243" s="44"/>
    </row>
    <row r="244" spans="5:5" ht="12.75" x14ac:dyDescent="0.35">
      <c r="E244" s="44"/>
    </row>
    <row r="245" spans="5:5" ht="12.75" x14ac:dyDescent="0.35">
      <c r="E245" s="44"/>
    </row>
    <row r="246" spans="5:5" ht="12.75" x14ac:dyDescent="0.35">
      <c r="E246" s="44"/>
    </row>
    <row r="247" spans="5:5" ht="12.75" x14ac:dyDescent="0.35">
      <c r="E247" s="44"/>
    </row>
    <row r="248" spans="5:5" ht="12.75" x14ac:dyDescent="0.35">
      <c r="E248" s="44"/>
    </row>
    <row r="249" spans="5:5" ht="12.75" x14ac:dyDescent="0.35">
      <c r="E249" s="44"/>
    </row>
    <row r="250" spans="5:5" ht="12.75" x14ac:dyDescent="0.35">
      <c r="E250" s="44"/>
    </row>
    <row r="251" spans="5:5" ht="12.75" x14ac:dyDescent="0.35">
      <c r="E251" s="44"/>
    </row>
    <row r="252" spans="5:5" ht="12.75" x14ac:dyDescent="0.35">
      <c r="E252" s="44"/>
    </row>
    <row r="253" spans="5:5" ht="12.75" x14ac:dyDescent="0.35">
      <c r="E253" s="44"/>
    </row>
    <row r="254" spans="5:5" ht="12.75" x14ac:dyDescent="0.35">
      <c r="E254" s="44"/>
    </row>
    <row r="255" spans="5:5" ht="12.75" x14ac:dyDescent="0.35">
      <c r="E255" s="44"/>
    </row>
    <row r="256" spans="5:5" ht="12.75" x14ac:dyDescent="0.35">
      <c r="E256" s="44"/>
    </row>
    <row r="257" spans="5:5" ht="12.75" x14ac:dyDescent="0.35">
      <c r="E257" s="44"/>
    </row>
    <row r="258" spans="5:5" ht="12.75" x14ac:dyDescent="0.35">
      <c r="E258" s="44"/>
    </row>
    <row r="259" spans="5:5" ht="12.75" x14ac:dyDescent="0.35">
      <c r="E259" s="44"/>
    </row>
    <row r="260" spans="5:5" ht="12.75" x14ac:dyDescent="0.35">
      <c r="E260" s="44"/>
    </row>
    <row r="261" spans="5:5" ht="12.75" x14ac:dyDescent="0.35">
      <c r="E261" s="44"/>
    </row>
    <row r="262" spans="5:5" ht="12.75" x14ac:dyDescent="0.35">
      <c r="E262" s="44"/>
    </row>
    <row r="263" spans="5:5" ht="12.75" x14ac:dyDescent="0.35">
      <c r="E263" s="44"/>
    </row>
    <row r="264" spans="5:5" ht="12.75" x14ac:dyDescent="0.35">
      <c r="E264" s="44"/>
    </row>
    <row r="265" spans="5:5" ht="12.75" x14ac:dyDescent="0.35">
      <c r="E265" s="44"/>
    </row>
    <row r="266" spans="5:5" ht="12.75" x14ac:dyDescent="0.35">
      <c r="E266" s="44"/>
    </row>
    <row r="267" spans="5:5" ht="12.75" x14ac:dyDescent="0.35">
      <c r="E267" s="44"/>
    </row>
    <row r="268" spans="5:5" ht="12.75" x14ac:dyDescent="0.35">
      <c r="E268" s="44"/>
    </row>
    <row r="269" spans="5:5" ht="12.75" x14ac:dyDescent="0.35">
      <c r="E269" s="44"/>
    </row>
    <row r="270" spans="5:5" ht="12.75" x14ac:dyDescent="0.35">
      <c r="E270" s="44"/>
    </row>
    <row r="271" spans="5:5" ht="12.75" x14ac:dyDescent="0.35">
      <c r="E271" s="44"/>
    </row>
    <row r="272" spans="5:5" ht="12.75" x14ac:dyDescent="0.35">
      <c r="E272" s="44"/>
    </row>
    <row r="273" spans="5:5" ht="12.75" x14ac:dyDescent="0.35">
      <c r="E273" s="44"/>
    </row>
    <row r="274" spans="5:5" ht="12.75" x14ac:dyDescent="0.35">
      <c r="E274" s="44"/>
    </row>
    <row r="275" spans="5:5" ht="12.75" x14ac:dyDescent="0.35">
      <c r="E275" s="44"/>
    </row>
    <row r="276" spans="5:5" ht="12.75" x14ac:dyDescent="0.35">
      <c r="E276" s="44"/>
    </row>
    <row r="277" spans="5:5" ht="12.75" x14ac:dyDescent="0.35">
      <c r="E277" s="44"/>
    </row>
    <row r="278" spans="5:5" ht="12.75" x14ac:dyDescent="0.35">
      <c r="E278" s="44"/>
    </row>
    <row r="279" spans="5:5" ht="12.75" x14ac:dyDescent="0.35">
      <c r="E279" s="44"/>
    </row>
    <row r="280" spans="5:5" ht="12.75" x14ac:dyDescent="0.35">
      <c r="E280" s="44"/>
    </row>
    <row r="281" spans="5:5" ht="12.75" x14ac:dyDescent="0.35">
      <c r="E281" s="44"/>
    </row>
    <row r="282" spans="5:5" ht="12.75" x14ac:dyDescent="0.35">
      <c r="E282" s="44"/>
    </row>
    <row r="283" spans="5:5" ht="12.75" x14ac:dyDescent="0.35">
      <c r="E283" s="44"/>
    </row>
    <row r="284" spans="5:5" ht="12.75" x14ac:dyDescent="0.35">
      <c r="E284" s="44"/>
    </row>
    <row r="285" spans="5:5" ht="12.75" x14ac:dyDescent="0.35">
      <c r="E285" s="44"/>
    </row>
    <row r="286" spans="5:5" ht="12.75" x14ac:dyDescent="0.35">
      <c r="E286" s="44"/>
    </row>
    <row r="287" spans="5:5" ht="12.75" x14ac:dyDescent="0.35">
      <c r="E287" s="44"/>
    </row>
    <row r="288" spans="5:5" ht="12.75" x14ac:dyDescent="0.35">
      <c r="E288" s="44"/>
    </row>
    <row r="289" spans="5:5" ht="12.75" x14ac:dyDescent="0.35">
      <c r="E289" s="44"/>
    </row>
    <row r="290" spans="5:5" ht="12.75" x14ac:dyDescent="0.35">
      <c r="E290" s="44"/>
    </row>
    <row r="291" spans="5:5" ht="12.75" x14ac:dyDescent="0.35">
      <c r="E291" s="44"/>
    </row>
    <row r="292" spans="5:5" ht="12.75" x14ac:dyDescent="0.35">
      <c r="E292" s="44"/>
    </row>
    <row r="293" spans="5:5" ht="12.75" x14ac:dyDescent="0.35">
      <c r="E293" s="44"/>
    </row>
    <row r="294" spans="5:5" ht="12.75" x14ac:dyDescent="0.35">
      <c r="E294" s="44"/>
    </row>
    <row r="295" spans="5:5" ht="12.75" x14ac:dyDescent="0.35">
      <c r="E295" s="44"/>
    </row>
    <row r="296" spans="5:5" ht="12.75" x14ac:dyDescent="0.35">
      <c r="E296" s="44"/>
    </row>
    <row r="297" spans="5:5" ht="12.75" x14ac:dyDescent="0.35">
      <c r="E297" s="44"/>
    </row>
    <row r="298" spans="5:5" ht="12.75" x14ac:dyDescent="0.35">
      <c r="E298" s="44"/>
    </row>
    <row r="299" spans="5:5" ht="12.75" x14ac:dyDescent="0.35">
      <c r="E299" s="44"/>
    </row>
    <row r="300" spans="5:5" ht="12.75" x14ac:dyDescent="0.35">
      <c r="E300" s="44"/>
    </row>
    <row r="301" spans="5:5" ht="12.75" x14ac:dyDescent="0.35">
      <c r="E301" s="44"/>
    </row>
    <row r="302" spans="5:5" ht="12.75" x14ac:dyDescent="0.35">
      <c r="E302" s="44"/>
    </row>
    <row r="303" spans="5:5" ht="12.75" x14ac:dyDescent="0.35">
      <c r="E303" s="44"/>
    </row>
    <row r="304" spans="5:5" ht="12.75" x14ac:dyDescent="0.35">
      <c r="E304" s="44"/>
    </row>
    <row r="305" spans="5:5" ht="12.75" x14ac:dyDescent="0.35">
      <c r="E305" s="44"/>
    </row>
    <row r="306" spans="5:5" ht="12.75" x14ac:dyDescent="0.35">
      <c r="E306" s="44"/>
    </row>
    <row r="307" spans="5:5" ht="12.75" x14ac:dyDescent="0.35">
      <c r="E307" s="44"/>
    </row>
    <row r="308" spans="5:5" ht="12.75" x14ac:dyDescent="0.35">
      <c r="E308" s="44"/>
    </row>
    <row r="309" spans="5:5" ht="12.75" x14ac:dyDescent="0.35">
      <c r="E309" s="44"/>
    </row>
    <row r="310" spans="5:5" ht="12.75" x14ac:dyDescent="0.35">
      <c r="E310" s="44"/>
    </row>
    <row r="311" spans="5:5" ht="12.75" x14ac:dyDescent="0.35">
      <c r="E311" s="44"/>
    </row>
    <row r="312" spans="5:5" ht="12.75" x14ac:dyDescent="0.35">
      <c r="E312" s="44"/>
    </row>
    <row r="313" spans="5:5" ht="12.75" x14ac:dyDescent="0.35">
      <c r="E313" s="44"/>
    </row>
    <row r="314" spans="5:5" ht="12.75" x14ac:dyDescent="0.35">
      <c r="E314" s="44"/>
    </row>
    <row r="315" spans="5:5" ht="12.75" x14ac:dyDescent="0.35">
      <c r="E315" s="44"/>
    </row>
    <row r="316" spans="5:5" ht="12.75" x14ac:dyDescent="0.35">
      <c r="E316" s="44"/>
    </row>
    <row r="317" spans="5:5" ht="12.75" x14ac:dyDescent="0.35">
      <c r="E317" s="44"/>
    </row>
    <row r="318" spans="5:5" ht="12.75" x14ac:dyDescent="0.35">
      <c r="E318" s="44"/>
    </row>
    <row r="319" spans="5:5" ht="12.75" x14ac:dyDescent="0.35">
      <c r="E319" s="44"/>
    </row>
    <row r="320" spans="5:5" ht="12.75" x14ac:dyDescent="0.35">
      <c r="E320" s="44"/>
    </row>
    <row r="321" spans="5:5" ht="12.75" x14ac:dyDescent="0.35">
      <c r="E321" s="44"/>
    </row>
    <row r="322" spans="5:5" ht="12.75" x14ac:dyDescent="0.35">
      <c r="E322" s="44"/>
    </row>
    <row r="323" spans="5:5" ht="12.75" x14ac:dyDescent="0.35">
      <c r="E323" s="44"/>
    </row>
    <row r="324" spans="5:5" ht="12.75" x14ac:dyDescent="0.35">
      <c r="E324" s="44"/>
    </row>
    <row r="325" spans="5:5" ht="12.75" x14ac:dyDescent="0.35">
      <c r="E325" s="44"/>
    </row>
    <row r="326" spans="5:5" ht="12.75" x14ac:dyDescent="0.35">
      <c r="E326" s="44"/>
    </row>
    <row r="327" spans="5:5" ht="12.75" x14ac:dyDescent="0.35">
      <c r="E327" s="44"/>
    </row>
    <row r="328" spans="5:5" ht="12.75" x14ac:dyDescent="0.35">
      <c r="E328" s="44"/>
    </row>
    <row r="329" spans="5:5" ht="12.75" x14ac:dyDescent="0.35">
      <c r="E329" s="44"/>
    </row>
    <row r="330" spans="5:5" ht="12.75" x14ac:dyDescent="0.35">
      <c r="E330" s="44"/>
    </row>
    <row r="331" spans="5:5" ht="12.75" x14ac:dyDescent="0.35">
      <c r="E331" s="44"/>
    </row>
    <row r="332" spans="5:5" ht="12.75" x14ac:dyDescent="0.35">
      <c r="E332" s="44"/>
    </row>
    <row r="333" spans="5:5" ht="12.75" x14ac:dyDescent="0.35">
      <c r="E333" s="44"/>
    </row>
    <row r="334" spans="5:5" ht="12.75" x14ac:dyDescent="0.35">
      <c r="E334" s="44"/>
    </row>
    <row r="335" spans="5:5" ht="12.75" x14ac:dyDescent="0.35">
      <c r="E335" s="44"/>
    </row>
    <row r="336" spans="5:5" ht="12.75" x14ac:dyDescent="0.35">
      <c r="E336" s="44"/>
    </row>
    <row r="337" spans="5:5" ht="12.75" x14ac:dyDescent="0.35">
      <c r="E337" s="44"/>
    </row>
    <row r="338" spans="5:5" ht="12.75" x14ac:dyDescent="0.35">
      <c r="E338" s="44"/>
    </row>
    <row r="339" spans="5:5" ht="12.75" x14ac:dyDescent="0.35">
      <c r="E339" s="44"/>
    </row>
    <row r="340" spans="5:5" ht="12.75" x14ac:dyDescent="0.35">
      <c r="E340" s="44"/>
    </row>
    <row r="341" spans="5:5" ht="12.75" x14ac:dyDescent="0.35">
      <c r="E341" s="44"/>
    </row>
    <row r="342" spans="5:5" ht="12.75" x14ac:dyDescent="0.35">
      <c r="E342" s="44"/>
    </row>
    <row r="343" spans="5:5" ht="12.75" x14ac:dyDescent="0.35">
      <c r="E343" s="44"/>
    </row>
    <row r="344" spans="5:5" ht="12.75" x14ac:dyDescent="0.35">
      <c r="E344" s="44"/>
    </row>
    <row r="345" spans="5:5" ht="12.75" x14ac:dyDescent="0.35">
      <c r="E345" s="44"/>
    </row>
    <row r="346" spans="5:5" ht="12.75" x14ac:dyDescent="0.35">
      <c r="E346" s="44"/>
    </row>
    <row r="347" spans="5:5" ht="12.75" x14ac:dyDescent="0.35">
      <c r="E347" s="44"/>
    </row>
    <row r="348" spans="5:5" ht="12.75" x14ac:dyDescent="0.35">
      <c r="E348" s="44"/>
    </row>
    <row r="349" spans="5:5" ht="12.75" x14ac:dyDescent="0.35">
      <c r="E349" s="44"/>
    </row>
    <row r="350" spans="5:5" ht="12.75" x14ac:dyDescent="0.35">
      <c r="E350" s="44"/>
    </row>
    <row r="351" spans="5:5" ht="12.75" x14ac:dyDescent="0.35">
      <c r="E351" s="44"/>
    </row>
    <row r="352" spans="5:5" ht="12.75" x14ac:dyDescent="0.35">
      <c r="E352" s="44"/>
    </row>
    <row r="353" spans="5:5" ht="12.75" x14ac:dyDescent="0.35">
      <c r="E353" s="44"/>
    </row>
    <row r="354" spans="5:5" ht="12.75" x14ac:dyDescent="0.35">
      <c r="E354" s="44"/>
    </row>
    <row r="355" spans="5:5" ht="12.75" x14ac:dyDescent="0.35">
      <c r="E355" s="44"/>
    </row>
    <row r="356" spans="5:5" ht="12.75" x14ac:dyDescent="0.35">
      <c r="E356" s="44"/>
    </row>
    <row r="357" spans="5:5" ht="12.75" x14ac:dyDescent="0.35">
      <c r="E357" s="44"/>
    </row>
    <row r="358" spans="5:5" ht="12.75" x14ac:dyDescent="0.35">
      <c r="E358" s="44"/>
    </row>
    <row r="359" spans="5:5" ht="12.75" x14ac:dyDescent="0.35">
      <c r="E359" s="44"/>
    </row>
    <row r="360" spans="5:5" ht="12.75" x14ac:dyDescent="0.35">
      <c r="E360" s="44"/>
    </row>
    <row r="361" spans="5:5" ht="12.75" x14ac:dyDescent="0.35">
      <c r="E361" s="44"/>
    </row>
    <row r="362" spans="5:5" ht="12.75" x14ac:dyDescent="0.35">
      <c r="E362" s="44"/>
    </row>
    <row r="363" spans="5:5" ht="12.75" x14ac:dyDescent="0.35">
      <c r="E363" s="44"/>
    </row>
    <row r="364" spans="5:5" ht="12.75" x14ac:dyDescent="0.35">
      <c r="E364" s="44"/>
    </row>
    <row r="365" spans="5:5" ht="12.75" x14ac:dyDescent="0.35">
      <c r="E365" s="44"/>
    </row>
    <row r="366" spans="5:5" ht="12.75" x14ac:dyDescent="0.35">
      <c r="E366" s="44"/>
    </row>
    <row r="367" spans="5:5" ht="12.75" x14ac:dyDescent="0.35">
      <c r="E367" s="44"/>
    </row>
    <row r="368" spans="5:5" ht="12.75" x14ac:dyDescent="0.35">
      <c r="E368" s="44"/>
    </row>
    <row r="369" spans="5:5" ht="12.75" x14ac:dyDescent="0.35">
      <c r="E369" s="44"/>
    </row>
    <row r="370" spans="5:5" ht="12.75" x14ac:dyDescent="0.35">
      <c r="E370" s="44"/>
    </row>
    <row r="371" spans="5:5" ht="12.75" x14ac:dyDescent="0.35">
      <c r="E371" s="44"/>
    </row>
    <row r="372" spans="5:5" ht="12.75" x14ac:dyDescent="0.35">
      <c r="E372" s="44"/>
    </row>
    <row r="373" spans="5:5" ht="12.75" x14ac:dyDescent="0.35">
      <c r="E373" s="44"/>
    </row>
    <row r="374" spans="5:5" ht="12.75" x14ac:dyDescent="0.35">
      <c r="E374" s="44"/>
    </row>
    <row r="375" spans="5:5" ht="12.75" x14ac:dyDescent="0.35">
      <c r="E375" s="44"/>
    </row>
    <row r="376" spans="5:5" ht="12.75" x14ac:dyDescent="0.35">
      <c r="E376" s="44"/>
    </row>
    <row r="377" spans="5:5" ht="12.75" x14ac:dyDescent="0.35">
      <c r="E377" s="44"/>
    </row>
    <row r="378" spans="5:5" ht="12.75" x14ac:dyDescent="0.35">
      <c r="E378" s="44"/>
    </row>
    <row r="379" spans="5:5" ht="12.75" x14ac:dyDescent="0.35">
      <c r="E379" s="44"/>
    </row>
    <row r="380" spans="5:5" ht="12.75" x14ac:dyDescent="0.35">
      <c r="E380" s="44"/>
    </row>
    <row r="381" spans="5:5" ht="12.75" x14ac:dyDescent="0.35">
      <c r="E381" s="44"/>
    </row>
    <row r="382" spans="5:5" ht="12.75" x14ac:dyDescent="0.35">
      <c r="E382" s="44"/>
    </row>
    <row r="383" spans="5:5" ht="12.75" x14ac:dyDescent="0.35">
      <c r="E383" s="44"/>
    </row>
    <row r="384" spans="5:5" ht="12.75" x14ac:dyDescent="0.35">
      <c r="E384" s="44"/>
    </row>
    <row r="385" spans="5:5" ht="12.75" x14ac:dyDescent="0.35">
      <c r="E385" s="44"/>
    </row>
    <row r="386" spans="5:5" ht="12.75" x14ac:dyDescent="0.35">
      <c r="E386" s="44"/>
    </row>
    <row r="387" spans="5:5" ht="12.75" x14ac:dyDescent="0.35">
      <c r="E387" s="44"/>
    </row>
    <row r="388" spans="5:5" ht="12.75" x14ac:dyDescent="0.35">
      <c r="E388" s="44"/>
    </row>
    <row r="389" spans="5:5" ht="12.75" x14ac:dyDescent="0.35">
      <c r="E389" s="44"/>
    </row>
    <row r="390" spans="5:5" ht="12.75" x14ac:dyDescent="0.35">
      <c r="E390" s="44"/>
    </row>
    <row r="391" spans="5:5" ht="12.75" x14ac:dyDescent="0.35">
      <c r="E391" s="44"/>
    </row>
    <row r="392" spans="5:5" ht="12.75" x14ac:dyDescent="0.35">
      <c r="E392" s="44"/>
    </row>
    <row r="393" spans="5:5" ht="12.75" x14ac:dyDescent="0.35">
      <c r="E393" s="44"/>
    </row>
    <row r="394" spans="5:5" ht="12.75" x14ac:dyDescent="0.35">
      <c r="E394" s="44"/>
    </row>
    <row r="395" spans="5:5" ht="12.75" x14ac:dyDescent="0.35">
      <c r="E395" s="44"/>
    </row>
    <row r="396" spans="5:5" ht="12.75" x14ac:dyDescent="0.35">
      <c r="E396" s="44"/>
    </row>
    <row r="397" spans="5:5" ht="12.75" x14ac:dyDescent="0.35">
      <c r="E397" s="44"/>
    </row>
    <row r="398" spans="5:5" ht="12.75" x14ac:dyDescent="0.35">
      <c r="E398" s="44"/>
    </row>
    <row r="399" spans="5:5" ht="12.75" x14ac:dyDescent="0.35">
      <c r="E399" s="44"/>
    </row>
    <row r="400" spans="5:5" ht="12.75" x14ac:dyDescent="0.35">
      <c r="E400" s="44"/>
    </row>
    <row r="401" spans="5:5" ht="12.75" x14ac:dyDescent="0.35">
      <c r="E401" s="44"/>
    </row>
    <row r="402" spans="5:5" ht="12.75" x14ac:dyDescent="0.35">
      <c r="E402" s="44"/>
    </row>
    <row r="403" spans="5:5" ht="12.75" x14ac:dyDescent="0.35">
      <c r="E403" s="44"/>
    </row>
    <row r="404" spans="5:5" ht="12.75" x14ac:dyDescent="0.35">
      <c r="E404" s="44"/>
    </row>
    <row r="405" spans="5:5" ht="12.75" x14ac:dyDescent="0.35">
      <c r="E405" s="44"/>
    </row>
    <row r="406" spans="5:5" ht="12.75" x14ac:dyDescent="0.35">
      <c r="E406" s="44"/>
    </row>
    <row r="407" spans="5:5" ht="12.75" x14ac:dyDescent="0.35">
      <c r="E407" s="44"/>
    </row>
    <row r="408" spans="5:5" ht="12.75" x14ac:dyDescent="0.35">
      <c r="E408" s="44"/>
    </row>
    <row r="409" spans="5:5" ht="12.75" x14ac:dyDescent="0.35">
      <c r="E409" s="44"/>
    </row>
    <row r="410" spans="5:5" ht="12.75" x14ac:dyDescent="0.35">
      <c r="E410" s="44"/>
    </row>
    <row r="411" spans="5:5" ht="12.75" x14ac:dyDescent="0.35">
      <c r="E411" s="44"/>
    </row>
    <row r="412" spans="5:5" ht="12.75" x14ac:dyDescent="0.35">
      <c r="E412" s="44"/>
    </row>
    <row r="413" spans="5:5" ht="12.75" x14ac:dyDescent="0.35">
      <c r="E413" s="44"/>
    </row>
    <row r="414" spans="5:5" ht="12.75" x14ac:dyDescent="0.35">
      <c r="E414" s="44"/>
    </row>
    <row r="415" spans="5:5" ht="12.75" x14ac:dyDescent="0.35">
      <c r="E415" s="44"/>
    </row>
    <row r="416" spans="5:5" ht="12.75" x14ac:dyDescent="0.35">
      <c r="E416" s="44"/>
    </row>
    <row r="417" spans="5:5" ht="12.75" x14ac:dyDescent="0.35">
      <c r="E417" s="44"/>
    </row>
    <row r="418" spans="5:5" ht="12.75" x14ac:dyDescent="0.35">
      <c r="E418" s="44"/>
    </row>
    <row r="419" spans="5:5" ht="12.75" x14ac:dyDescent="0.35">
      <c r="E419" s="44"/>
    </row>
    <row r="420" spans="5:5" ht="12.75" x14ac:dyDescent="0.35">
      <c r="E420" s="44"/>
    </row>
    <row r="421" spans="5:5" ht="12.75" x14ac:dyDescent="0.35">
      <c r="E421" s="44"/>
    </row>
    <row r="422" spans="5:5" ht="12.75" x14ac:dyDescent="0.35">
      <c r="E422" s="44"/>
    </row>
    <row r="423" spans="5:5" ht="12.75" x14ac:dyDescent="0.35">
      <c r="E423" s="44"/>
    </row>
    <row r="424" spans="5:5" ht="12.75" x14ac:dyDescent="0.35">
      <c r="E424" s="44"/>
    </row>
    <row r="425" spans="5:5" ht="12.75" x14ac:dyDescent="0.35">
      <c r="E425" s="44"/>
    </row>
    <row r="426" spans="5:5" ht="12.75" x14ac:dyDescent="0.35">
      <c r="E426" s="44"/>
    </row>
    <row r="427" spans="5:5" ht="12.75" x14ac:dyDescent="0.35">
      <c r="E427" s="44"/>
    </row>
    <row r="428" spans="5:5" ht="12.75" x14ac:dyDescent="0.35">
      <c r="E428" s="44"/>
    </row>
    <row r="429" spans="5:5" ht="12.75" x14ac:dyDescent="0.35">
      <c r="E429" s="44"/>
    </row>
    <row r="430" spans="5:5" ht="12.75" x14ac:dyDescent="0.35">
      <c r="E430" s="44"/>
    </row>
    <row r="431" spans="5:5" ht="12.75" x14ac:dyDescent="0.35">
      <c r="E431" s="44"/>
    </row>
    <row r="432" spans="5:5" ht="12.75" x14ac:dyDescent="0.35">
      <c r="E432" s="44"/>
    </row>
    <row r="433" spans="5:5" ht="12.75" x14ac:dyDescent="0.35">
      <c r="E433" s="44"/>
    </row>
    <row r="434" spans="5:5" ht="12.75" x14ac:dyDescent="0.35">
      <c r="E434" s="44"/>
    </row>
    <row r="435" spans="5:5" ht="12.75" x14ac:dyDescent="0.35">
      <c r="E435" s="44"/>
    </row>
    <row r="436" spans="5:5" ht="12.75" x14ac:dyDescent="0.35">
      <c r="E436" s="44"/>
    </row>
    <row r="437" spans="5:5" ht="12.75" x14ac:dyDescent="0.35">
      <c r="E437" s="44"/>
    </row>
    <row r="438" spans="5:5" ht="12.75" x14ac:dyDescent="0.35">
      <c r="E438" s="44"/>
    </row>
    <row r="439" spans="5:5" ht="12.75" x14ac:dyDescent="0.35">
      <c r="E439" s="44"/>
    </row>
    <row r="440" spans="5:5" ht="12.75" x14ac:dyDescent="0.35">
      <c r="E440" s="44"/>
    </row>
    <row r="441" spans="5:5" ht="12.75" x14ac:dyDescent="0.35">
      <c r="E441" s="44"/>
    </row>
    <row r="442" spans="5:5" ht="12.75" x14ac:dyDescent="0.35">
      <c r="E442" s="44"/>
    </row>
    <row r="443" spans="5:5" ht="12.75" x14ac:dyDescent="0.35">
      <c r="E443" s="44"/>
    </row>
    <row r="444" spans="5:5" ht="12.75" x14ac:dyDescent="0.35">
      <c r="E444" s="44"/>
    </row>
    <row r="445" spans="5:5" ht="12.75" x14ac:dyDescent="0.35">
      <c r="E445" s="44"/>
    </row>
    <row r="446" spans="5:5" ht="12.75" x14ac:dyDescent="0.35">
      <c r="E446" s="44"/>
    </row>
    <row r="447" spans="5:5" ht="12.75" x14ac:dyDescent="0.35">
      <c r="E447" s="44"/>
    </row>
    <row r="448" spans="5:5" ht="12.75" x14ac:dyDescent="0.35">
      <c r="E448" s="44"/>
    </row>
    <row r="449" spans="5:5" ht="12.75" x14ac:dyDescent="0.35">
      <c r="E449" s="44"/>
    </row>
    <row r="450" spans="5:5" ht="12.75" x14ac:dyDescent="0.35">
      <c r="E450" s="44"/>
    </row>
    <row r="451" spans="5:5" ht="12.75" x14ac:dyDescent="0.35">
      <c r="E451" s="44"/>
    </row>
    <row r="452" spans="5:5" ht="12.75" x14ac:dyDescent="0.35">
      <c r="E452" s="44"/>
    </row>
    <row r="453" spans="5:5" ht="12.75" x14ac:dyDescent="0.35">
      <c r="E453" s="44"/>
    </row>
    <row r="454" spans="5:5" ht="12.75" x14ac:dyDescent="0.35">
      <c r="E454" s="44"/>
    </row>
    <row r="455" spans="5:5" ht="12.75" x14ac:dyDescent="0.35">
      <c r="E455" s="44"/>
    </row>
    <row r="456" spans="5:5" ht="12.75" x14ac:dyDescent="0.35">
      <c r="E456" s="44"/>
    </row>
    <row r="457" spans="5:5" ht="12.75" x14ac:dyDescent="0.35">
      <c r="E457" s="44"/>
    </row>
    <row r="458" spans="5:5" ht="12.75" x14ac:dyDescent="0.35">
      <c r="E458" s="44"/>
    </row>
    <row r="459" spans="5:5" ht="12.75" x14ac:dyDescent="0.35">
      <c r="E459" s="44"/>
    </row>
    <row r="460" spans="5:5" ht="12.75" x14ac:dyDescent="0.35">
      <c r="E460" s="44"/>
    </row>
    <row r="461" spans="5:5" ht="12.75" x14ac:dyDescent="0.35">
      <c r="E461" s="44"/>
    </row>
    <row r="462" spans="5:5" ht="12.75" x14ac:dyDescent="0.35">
      <c r="E462" s="44"/>
    </row>
    <row r="463" spans="5:5" ht="12.75" x14ac:dyDescent="0.35">
      <c r="E463" s="44"/>
    </row>
    <row r="464" spans="5:5" ht="12.75" x14ac:dyDescent="0.35">
      <c r="E464" s="44"/>
    </row>
    <row r="465" spans="5:5" ht="12.75" x14ac:dyDescent="0.35">
      <c r="E465" s="44"/>
    </row>
    <row r="466" spans="5:5" ht="12.75" x14ac:dyDescent="0.35">
      <c r="E466" s="44"/>
    </row>
    <row r="467" spans="5:5" ht="12.75" x14ac:dyDescent="0.35">
      <c r="E467" s="44"/>
    </row>
    <row r="468" spans="5:5" ht="12.75" x14ac:dyDescent="0.35">
      <c r="E468" s="44"/>
    </row>
    <row r="469" spans="5:5" ht="12.75" x14ac:dyDescent="0.35">
      <c r="E469" s="44"/>
    </row>
    <row r="470" spans="5:5" ht="12.75" x14ac:dyDescent="0.35">
      <c r="E470" s="44"/>
    </row>
    <row r="471" spans="5:5" ht="12.75" x14ac:dyDescent="0.35">
      <c r="E471" s="44"/>
    </row>
    <row r="472" spans="5:5" ht="12.75" x14ac:dyDescent="0.35">
      <c r="E472" s="44"/>
    </row>
    <row r="473" spans="5:5" ht="12.75" x14ac:dyDescent="0.35">
      <c r="E473" s="44"/>
    </row>
    <row r="474" spans="5:5" ht="12.75" x14ac:dyDescent="0.35">
      <c r="E474" s="44"/>
    </row>
    <row r="475" spans="5:5" ht="12.75" x14ac:dyDescent="0.35">
      <c r="E475" s="44"/>
    </row>
    <row r="476" spans="5:5" ht="12.75" x14ac:dyDescent="0.35">
      <c r="E476" s="44"/>
    </row>
    <row r="477" spans="5:5" ht="12.75" x14ac:dyDescent="0.35">
      <c r="E477" s="44"/>
    </row>
    <row r="478" spans="5:5" ht="12.75" x14ac:dyDescent="0.35">
      <c r="E478" s="44"/>
    </row>
    <row r="479" spans="5:5" ht="12.75" x14ac:dyDescent="0.35">
      <c r="E479" s="44"/>
    </row>
    <row r="480" spans="5:5" ht="12.75" x14ac:dyDescent="0.35">
      <c r="E480" s="44"/>
    </row>
    <row r="481" spans="5:5" ht="12.75" x14ac:dyDescent="0.35">
      <c r="E481" s="44"/>
    </row>
    <row r="482" spans="5:5" ht="12.75" x14ac:dyDescent="0.35">
      <c r="E482" s="44"/>
    </row>
    <row r="483" spans="5:5" ht="12.75" x14ac:dyDescent="0.35">
      <c r="E483" s="44"/>
    </row>
    <row r="484" spans="5:5" ht="12.75" x14ac:dyDescent="0.35">
      <c r="E484" s="44"/>
    </row>
    <row r="485" spans="5:5" ht="12.75" x14ac:dyDescent="0.35">
      <c r="E485" s="44"/>
    </row>
    <row r="486" spans="5:5" ht="12.75" x14ac:dyDescent="0.35">
      <c r="E486" s="44"/>
    </row>
    <row r="487" spans="5:5" ht="12.75" x14ac:dyDescent="0.35">
      <c r="E487" s="44"/>
    </row>
    <row r="488" spans="5:5" ht="12.75" x14ac:dyDescent="0.35">
      <c r="E488" s="44"/>
    </row>
    <row r="489" spans="5:5" ht="12.75" x14ac:dyDescent="0.35">
      <c r="E489" s="44"/>
    </row>
    <row r="490" spans="5:5" ht="12.75" x14ac:dyDescent="0.35">
      <c r="E490" s="44"/>
    </row>
    <row r="491" spans="5:5" ht="12.75" x14ac:dyDescent="0.35">
      <c r="E491" s="44"/>
    </row>
    <row r="492" spans="5:5" ht="12.75" x14ac:dyDescent="0.35">
      <c r="E492" s="44"/>
    </row>
    <row r="493" spans="5:5" ht="12.75" x14ac:dyDescent="0.35">
      <c r="E493" s="44"/>
    </row>
    <row r="494" spans="5:5" ht="12.75" x14ac:dyDescent="0.35">
      <c r="E494" s="44"/>
    </row>
    <row r="495" spans="5:5" ht="12.75" x14ac:dyDescent="0.35">
      <c r="E495" s="44"/>
    </row>
    <row r="496" spans="5:5" ht="12.75" x14ac:dyDescent="0.35">
      <c r="E496" s="44"/>
    </row>
    <row r="497" spans="5:5" ht="12.75" x14ac:dyDescent="0.35">
      <c r="E497" s="44"/>
    </row>
    <row r="498" spans="5:5" ht="12.75" x14ac:dyDescent="0.35">
      <c r="E498" s="44"/>
    </row>
    <row r="499" spans="5:5" ht="12.75" x14ac:dyDescent="0.35">
      <c r="E499" s="44"/>
    </row>
    <row r="500" spans="5:5" ht="12.75" x14ac:dyDescent="0.35">
      <c r="E500" s="44"/>
    </row>
    <row r="501" spans="5:5" ht="12.75" x14ac:dyDescent="0.35">
      <c r="E501" s="44"/>
    </row>
    <row r="502" spans="5:5" ht="12.75" x14ac:dyDescent="0.35">
      <c r="E502" s="44"/>
    </row>
    <row r="503" spans="5:5" ht="12.75" x14ac:dyDescent="0.35">
      <c r="E503" s="44"/>
    </row>
    <row r="504" spans="5:5" ht="12.75" x14ac:dyDescent="0.35">
      <c r="E504" s="44"/>
    </row>
    <row r="505" spans="5:5" ht="12.75" x14ac:dyDescent="0.35">
      <c r="E505" s="44"/>
    </row>
    <row r="506" spans="5:5" ht="12.75" x14ac:dyDescent="0.35">
      <c r="E506" s="44"/>
    </row>
    <row r="507" spans="5:5" ht="12.75" x14ac:dyDescent="0.35">
      <c r="E507" s="44"/>
    </row>
    <row r="508" spans="5:5" ht="12.75" x14ac:dyDescent="0.35">
      <c r="E508" s="44"/>
    </row>
    <row r="509" spans="5:5" ht="12.75" x14ac:dyDescent="0.35">
      <c r="E509" s="44"/>
    </row>
    <row r="510" spans="5:5" ht="12.75" x14ac:dyDescent="0.35">
      <c r="E510" s="44"/>
    </row>
    <row r="511" spans="5:5" ht="12.75" x14ac:dyDescent="0.35">
      <c r="E511" s="44"/>
    </row>
    <row r="512" spans="5:5" ht="12.75" x14ac:dyDescent="0.35">
      <c r="E512" s="44"/>
    </row>
    <row r="513" spans="5:5" ht="12.75" x14ac:dyDescent="0.35">
      <c r="E513" s="44"/>
    </row>
    <row r="514" spans="5:5" ht="12.75" x14ac:dyDescent="0.35">
      <c r="E514" s="44"/>
    </row>
    <row r="515" spans="5:5" ht="12.75" x14ac:dyDescent="0.35">
      <c r="E515" s="44"/>
    </row>
    <row r="516" spans="5:5" ht="12.75" x14ac:dyDescent="0.35">
      <c r="E516" s="44"/>
    </row>
    <row r="517" spans="5:5" ht="12.75" x14ac:dyDescent="0.35">
      <c r="E517" s="44"/>
    </row>
    <row r="518" spans="5:5" ht="12.75" x14ac:dyDescent="0.35">
      <c r="E518" s="44"/>
    </row>
    <row r="519" spans="5:5" ht="12.75" x14ac:dyDescent="0.35">
      <c r="E519" s="44"/>
    </row>
    <row r="520" spans="5:5" ht="12.75" x14ac:dyDescent="0.35">
      <c r="E520" s="44"/>
    </row>
    <row r="521" spans="5:5" ht="12.75" x14ac:dyDescent="0.35">
      <c r="E521" s="44"/>
    </row>
    <row r="522" spans="5:5" ht="12.75" x14ac:dyDescent="0.35">
      <c r="E522" s="44"/>
    </row>
    <row r="523" spans="5:5" ht="12.75" x14ac:dyDescent="0.35">
      <c r="E523" s="44"/>
    </row>
    <row r="524" spans="5:5" ht="12.75" x14ac:dyDescent="0.35">
      <c r="E524" s="44"/>
    </row>
    <row r="525" spans="5:5" ht="12.75" x14ac:dyDescent="0.35">
      <c r="E525" s="44"/>
    </row>
    <row r="526" spans="5:5" ht="12.75" x14ac:dyDescent="0.35">
      <c r="E526" s="44"/>
    </row>
    <row r="527" spans="5:5" ht="12.75" x14ac:dyDescent="0.35">
      <c r="E527" s="44"/>
    </row>
    <row r="528" spans="5:5" ht="12.75" x14ac:dyDescent="0.35">
      <c r="E528" s="44"/>
    </row>
    <row r="529" spans="5:5" ht="12.75" x14ac:dyDescent="0.35">
      <c r="E529" s="44"/>
    </row>
    <row r="530" spans="5:5" ht="12.75" x14ac:dyDescent="0.35">
      <c r="E530" s="44"/>
    </row>
    <row r="531" spans="5:5" ht="12.75" x14ac:dyDescent="0.35">
      <c r="E531" s="44"/>
    </row>
    <row r="532" spans="5:5" ht="12.75" x14ac:dyDescent="0.35">
      <c r="E532" s="44"/>
    </row>
    <row r="533" spans="5:5" ht="12.75" x14ac:dyDescent="0.35">
      <c r="E533" s="44"/>
    </row>
    <row r="534" spans="5:5" ht="12.75" x14ac:dyDescent="0.35">
      <c r="E534" s="44"/>
    </row>
    <row r="535" spans="5:5" ht="12.75" x14ac:dyDescent="0.35">
      <c r="E535" s="44"/>
    </row>
    <row r="536" spans="5:5" ht="12.75" x14ac:dyDescent="0.35">
      <c r="E536" s="44"/>
    </row>
    <row r="537" spans="5:5" ht="12.75" x14ac:dyDescent="0.35">
      <c r="E537" s="44"/>
    </row>
    <row r="538" spans="5:5" ht="12.75" x14ac:dyDescent="0.35">
      <c r="E538" s="44"/>
    </row>
    <row r="539" spans="5:5" ht="12.75" x14ac:dyDescent="0.35">
      <c r="E539" s="44"/>
    </row>
    <row r="540" spans="5:5" ht="12.75" x14ac:dyDescent="0.35">
      <c r="E540" s="44"/>
    </row>
    <row r="541" spans="5:5" ht="12.75" x14ac:dyDescent="0.35">
      <c r="E541" s="44"/>
    </row>
    <row r="542" spans="5:5" ht="12.75" x14ac:dyDescent="0.35">
      <c r="E542" s="44"/>
    </row>
    <row r="543" spans="5:5" ht="12.75" x14ac:dyDescent="0.35">
      <c r="E543" s="44"/>
    </row>
    <row r="544" spans="5:5" ht="12.75" x14ac:dyDescent="0.35">
      <c r="E544" s="44"/>
    </row>
    <row r="545" spans="5:5" ht="12.75" x14ac:dyDescent="0.35">
      <c r="E545" s="44"/>
    </row>
    <row r="546" spans="5:5" ht="12.75" x14ac:dyDescent="0.35">
      <c r="E546" s="44"/>
    </row>
    <row r="547" spans="5:5" ht="12.75" x14ac:dyDescent="0.35">
      <c r="E547" s="44"/>
    </row>
    <row r="548" spans="5:5" ht="12.75" x14ac:dyDescent="0.35">
      <c r="E548" s="44"/>
    </row>
    <row r="549" spans="5:5" ht="12.75" x14ac:dyDescent="0.35">
      <c r="E549" s="44"/>
    </row>
    <row r="550" spans="5:5" ht="12.75" x14ac:dyDescent="0.35">
      <c r="E550" s="44"/>
    </row>
    <row r="551" spans="5:5" ht="12.75" x14ac:dyDescent="0.35">
      <c r="E551" s="44"/>
    </row>
    <row r="552" spans="5:5" ht="12.75" x14ac:dyDescent="0.35">
      <c r="E552" s="44"/>
    </row>
    <row r="553" spans="5:5" ht="12.75" x14ac:dyDescent="0.35">
      <c r="E553" s="44"/>
    </row>
    <row r="554" spans="5:5" ht="12.75" x14ac:dyDescent="0.35">
      <c r="E554" s="44"/>
    </row>
    <row r="555" spans="5:5" ht="12.75" x14ac:dyDescent="0.35">
      <c r="E555" s="44"/>
    </row>
    <row r="556" spans="5:5" ht="12.75" x14ac:dyDescent="0.35">
      <c r="E556" s="44"/>
    </row>
    <row r="557" spans="5:5" ht="12.75" x14ac:dyDescent="0.35">
      <c r="E557" s="44"/>
    </row>
    <row r="558" spans="5:5" ht="12.75" x14ac:dyDescent="0.35">
      <c r="E558" s="44"/>
    </row>
    <row r="559" spans="5:5" ht="12.75" x14ac:dyDescent="0.35">
      <c r="E559" s="44"/>
    </row>
    <row r="560" spans="5:5" ht="12.75" x14ac:dyDescent="0.35">
      <c r="E560" s="44"/>
    </row>
    <row r="561" spans="5:5" ht="12.75" x14ac:dyDescent="0.35">
      <c r="E561" s="44"/>
    </row>
    <row r="562" spans="5:5" ht="12.75" x14ac:dyDescent="0.35">
      <c r="E562" s="44"/>
    </row>
    <row r="563" spans="5:5" ht="12.75" x14ac:dyDescent="0.35">
      <c r="E563" s="44"/>
    </row>
    <row r="564" spans="5:5" ht="12.75" x14ac:dyDescent="0.35">
      <c r="E564" s="44"/>
    </row>
    <row r="565" spans="5:5" ht="12.75" x14ac:dyDescent="0.35">
      <c r="E565" s="44"/>
    </row>
    <row r="566" spans="5:5" ht="12.75" x14ac:dyDescent="0.35">
      <c r="E566" s="44"/>
    </row>
    <row r="567" spans="5:5" ht="12.75" x14ac:dyDescent="0.35">
      <c r="E567" s="44"/>
    </row>
    <row r="568" spans="5:5" ht="12.75" x14ac:dyDescent="0.35">
      <c r="E568" s="44"/>
    </row>
    <row r="569" spans="5:5" ht="12.75" x14ac:dyDescent="0.35">
      <c r="E569" s="44"/>
    </row>
    <row r="570" spans="5:5" ht="12.75" x14ac:dyDescent="0.35">
      <c r="E570" s="44"/>
    </row>
    <row r="571" spans="5:5" ht="12.75" x14ac:dyDescent="0.35">
      <c r="E571" s="44"/>
    </row>
    <row r="572" spans="5:5" ht="12.75" x14ac:dyDescent="0.35">
      <c r="E572" s="44"/>
    </row>
    <row r="573" spans="5:5" ht="12.75" x14ac:dyDescent="0.35">
      <c r="E573" s="44"/>
    </row>
    <row r="574" spans="5:5" ht="12.75" x14ac:dyDescent="0.35">
      <c r="E574" s="44"/>
    </row>
    <row r="575" spans="5:5" ht="12.75" x14ac:dyDescent="0.35">
      <c r="E575" s="44"/>
    </row>
    <row r="576" spans="5:5" ht="12.75" x14ac:dyDescent="0.35">
      <c r="E576" s="44"/>
    </row>
    <row r="577" spans="5:5" ht="12.75" x14ac:dyDescent="0.35">
      <c r="E577" s="44"/>
    </row>
    <row r="578" spans="5:5" ht="12.75" x14ac:dyDescent="0.35">
      <c r="E578" s="44"/>
    </row>
    <row r="579" spans="5:5" ht="12.75" x14ac:dyDescent="0.35">
      <c r="E579" s="44"/>
    </row>
    <row r="580" spans="5:5" ht="12.75" x14ac:dyDescent="0.35">
      <c r="E580" s="44"/>
    </row>
    <row r="581" spans="5:5" ht="12.75" x14ac:dyDescent="0.35">
      <c r="E581" s="44"/>
    </row>
    <row r="582" spans="5:5" ht="12.75" x14ac:dyDescent="0.35">
      <c r="E582" s="44"/>
    </row>
    <row r="583" spans="5:5" ht="12.75" x14ac:dyDescent="0.35">
      <c r="E583" s="44"/>
    </row>
    <row r="584" spans="5:5" ht="12.75" x14ac:dyDescent="0.35">
      <c r="E584" s="44"/>
    </row>
    <row r="585" spans="5:5" ht="12.75" x14ac:dyDescent="0.35">
      <c r="E585" s="44"/>
    </row>
    <row r="586" spans="5:5" ht="12.75" x14ac:dyDescent="0.35">
      <c r="E586" s="44"/>
    </row>
    <row r="587" spans="5:5" ht="12.75" x14ac:dyDescent="0.35">
      <c r="E587" s="44"/>
    </row>
    <row r="588" spans="5:5" ht="12.75" x14ac:dyDescent="0.35">
      <c r="E588" s="44"/>
    </row>
    <row r="589" spans="5:5" ht="12.75" x14ac:dyDescent="0.35">
      <c r="E589" s="44"/>
    </row>
    <row r="590" spans="5:5" ht="12.75" x14ac:dyDescent="0.35">
      <c r="E590" s="44"/>
    </row>
    <row r="591" spans="5:5" ht="12.75" x14ac:dyDescent="0.35">
      <c r="E591" s="44"/>
    </row>
    <row r="592" spans="5:5" ht="12.75" x14ac:dyDescent="0.35">
      <c r="E592" s="44"/>
    </row>
    <row r="593" spans="5:5" ht="12.75" x14ac:dyDescent="0.35">
      <c r="E593" s="44"/>
    </row>
    <row r="594" spans="5:5" ht="12.75" x14ac:dyDescent="0.35">
      <c r="E594" s="44"/>
    </row>
    <row r="595" spans="5:5" ht="12.75" x14ac:dyDescent="0.35">
      <c r="E595" s="44"/>
    </row>
    <row r="596" spans="5:5" ht="12.75" x14ac:dyDescent="0.35">
      <c r="E596" s="44"/>
    </row>
    <row r="597" spans="5:5" ht="12.75" x14ac:dyDescent="0.35">
      <c r="E597" s="44"/>
    </row>
    <row r="598" spans="5:5" ht="12.75" x14ac:dyDescent="0.35">
      <c r="E598" s="44"/>
    </row>
    <row r="599" spans="5:5" ht="12.75" x14ac:dyDescent="0.35">
      <c r="E599" s="44"/>
    </row>
    <row r="600" spans="5:5" ht="12.75" x14ac:dyDescent="0.35">
      <c r="E600" s="44"/>
    </row>
    <row r="601" spans="5:5" ht="12.75" x14ac:dyDescent="0.35">
      <c r="E601" s="44"/>
    </row>
    <row r="602" spans="5:5" ht="12.75" x14ac:dyDescent="0.35">
      <c r="E602" s="44"/>
    </row>
    <row r="603" spans="5:5" ht="12.75" x14ac:dyDescent="0.35">
      <c r="E603" s="44"/>
    </row>
    <row r="604" spans="5:5" ht="12.75" x14ac:dyDescent="0.35">
      <c r="E604" s="44"/>
    </row>
    <row r="605" spans="5:5" ht="12.75" x14ac:dyDescent="0.35">
      <c r="E605" s="44"/>
    </row>
    <row r="606" spans="5:5" ht="12.75" x14ac:dyDescent="0.35">
      <c r="E606" s="44"/>
    </row>
    <row r="607" spans="5:5" ht="12.75" x14ac:dyDescent="0.35">
      <c r="E607" s="44"/>
    </row>
    <row r="608" spans="5:5" ht="12.75" x14ac:dyDescent="0.35">
      <c r="E608" s="44"/>
    </row>
    <row r="609" spans="5:5" ht="12.75" x14ac:dyDescent="0.35">
      <c r="E609" s="44"/>
    </row>
    <row r="610" spans="5:5" ht="12.75" x14ac:dyDescent="0.35">
      <c r="E610" s="44"/>
    </row>
    <row r="611" spans="5:5" ht="12.75" x14ac:dyDescent="0.35">
      <c r="E611" s="44"/>
    </row>
    <row r="612" spans="5:5" ht="12.75" x14ac:dyDescent="0.35">
      <c r="E612" s="44"/>
    </row>
    <row r="613" spans="5:5" ht="12.75" x14ac:dyDescent="0.35">
      <c r="E613" s="44"/>
    </row>
    <row r="614" spans="5:5" ht="12.75" x14ac:dyDescent="0.35">
      <c r="E614" s="44"/>
    </row>
    <row r="615" spans="5:5" ht="12.75" x14ac:dyDescent="0.35">
      <c r="E615" s="44"/>
    </row>
    <row r="616" spans="5:5" ht="12.75" x14ac:dyDescent="0.35">
      <c r="E616" s="44"/>
    </row>
    <row r="617" spans="5:5" ht="12.75" x14ac:dyDescent="0.35">
      <c r="E617" s="44"/>
    </row>
    <row r="618" spans="5:5" ht="12.75" x14ac:dyDescent="0.35">
      <c r="E618" s="44"/>
    </row>
    <row r="619" spans="5:5" ht="12.75" x14ac:dyDescent="0.35">
      <c r="E619" s="44"/>
    </row>
    <row r="620" spans="5:5" ht="12.75" x14ac:dyDescent="0.35">
      <c r="E620" s="44"/>
    </row>
    <row r="621" spans="5:5" ht="12.75" x14ac:dyDescent="0.35">
      <c r="E621" s="44"/>
    </row>
    <row r="622" spans="5:5" ht="12.75" x14ac:dyDescent="0.35">
      <c r="E622" s="44"/>
    </row>
    <row r="623" spans="5:5" ht="12.75" x14ac:dyDescent="0.35">
      <c r="E623" s="44"/>
    </row>
    <row r="624" spans="5:5" ht="12.75" x14ac:dyDescent="0.35">
      <c r="E624" s="44"/>
    </row>
    <row r="625" spans="5:5" ht="12.75" x14ac:dyDescent="0.35">
      <c r="E625" s="44"/>
    </row>
    <row r="626" spans="5:5" ht="12.75" x14ac:dyDescent="0.35">
      <c r="E626" s="44"/>
    </row>
    <row r="627" spans="5:5" ht="12.75" x14ac:dyDescent="0.35">
      <c r="E627" s="44"/>
    </row>
    <row r="628" spans="5:5" ht="12.75" x14ac:dyDescent="0.35">
      <c r="E628" s="44"/>
    </row>
    <row r="629" spans="5:5" ht="12.75" x14ac:dyDescent="0.35">
      <c r="E629" s="44"/>
    </row>
    <row r="630" spans="5:5" ht="12.75" x14ac:dyDescent="0.35">
      <c r="E630" s="44"/>
    </row>
    <row r="631" spans="5:5" ht="12.75" x14ac:dyDescent="0.35">
      <c r="E631" s="44"/>
    </row>
    <row r="632" spans="5:5" ht="12.75" x14ac:dyDescent="0.35">
      <c r="E632" s="44"/>
    </row>
    <row r="633" spans="5:5" ht="12.75" x14ac:dyDescent="0.35">
      <c r="E633" s="44"/>
    </row>
    <row r="634" spans="5:5" ht="12.75" x14ac:dyDescent="0.35">
      <c r="E634" s="44"/>
    </row>
    <row r="635" spans="5:5" ht="12.75" x14ac:dyDescent="0.35">
      <c r="E635" s="44"/>
    </row>
    <row r="636" spans="5:5" ht="12.75" x14ac:dyDescent="0.35">
      <c r="E636" s="44"/>
    </row>
    <row r="637" spans="5:5" ht="12.75" x14ac:dyDescent="0.35">
      <c r="E637" s="44"/>
    </row>
    <row r="638" spans="5:5" ht="12.75" x14ac:dyDescent="0.35">
      <c r="E638" s="44"/>
    </row>
    <row r="639" spans="5:5" ht="12.75" x14ac:dyDescent="0.35">
      <c r="E639" s="44"/>
    </row>
    <row r="640" spans="5:5" ht="12.75" x14ac:dyDescent="0.35">
      <c r="E640" s="44"/>
    </row>
    <row r="641" spans="5:5" ht="12.75" x14ac:dyDescent="0.35">
      <c r="E641" s="44"/>
    </row>
    <row r="642" spans="5:5" ht="12.75" x14ac:dyDescent="0.35">
      <c r="E642" s="44"/>
    </row>
    <row r="643" spans="5:5" ht="12.75" x14ac:dyDescent="0.35">
      <c r="E643" s="44"/>
    </row>
    <row r="644" spans="5:5" ht="12.75" x14ac:dyDescent="0.35">
      <c r="E644" s="44"/>
    </row>
    <row r="645" spans="5:5" ht="12.75" x14ac:dyDescent="0.35">
      <c r="E645" s="44"/>
    </row>
    <row r="646" spans="5:5" ht="12.75" x14ac:dyDescent="0.35">
      <c r="E646" s="44"/>
    </row>
    <row r="647" spans="5:5" ht="12.75" x14ac:dyDescent="0.35">
      <c r="E647" s="44"/>
    </row>
    <row r="648" spans="5:5" ht="12.75" x14ac:dyDescent="0.35">
      <c r="E648" s="44"/>
    </row>
    <row r="649" spans="5:5" ht="12.75" x14ac:dyDescent="0.35">
      <c r="E649" s="44"/>
    </row>
    <row r="650" spans="5:5" ht="12.75" x14ac:dyDescent="0.35">
      <c r="E650" s="44"/>
    </row>
    <row r="651" spans="5:5" ht="12.75" x14ac:dyDescent="0.35">
      <c r="E651" s="44"/>
    </row>
    <row r="652" spans="5:5" ht="12.75" x14ac:dyDescent="0.35">
      <c r="E652" s="44"/>
    </row>
    <row r="653" spans="5:5" ht="12.75" x14ac:dyDescent="0.35">
      <c r="E653" s="44"/>
    </row>
    <row r="654" spans="5:5" ht="12.75" x14ac:dyDescent="0.35">
      <c r="E654" s="44"/>
    </row>
    <row r="655" spans="5:5" ht="12.75" x14ac:dyDescent="0.35">
      <c r="E655" s="44"/>
    </row>
    <row r="656" spans="5:5" ht="12.75" x14ac:dyDescent="0.35">
      <c r="E656" s="44"/>
    </row>
    <row r="657" spans="5:5" ht="12.75" x14ac:dyDescent="0.35">
      <c r="E657" s="44"/>
    </row>
    <row r="658" spans="5:5" ht="12.75" x14ac:dyDescent="0.35">
      <c r="E658" s="44"/>
    </row>
    <row r="659" spans="5:5" ht="12.75" x14ac:dyDescent="0.35">
      <c r="E659" s="44"/>
    </row>
    <row r="660" spans="5:5" ht="12.75" x14ac:dyDescent="0.35">
      <c r="E660" s="44"/>
    </row>
    <row r="661" spans="5:5" ht="12.75" x14ac:dyDescent="0.35">
      <c r="E661" s="44"/>
    </row>
    <row r="662" spans="5:5" ht="12.75" x14ac:dyDescent="0.35">
      <c r="E662" s="44"/>
    </row>
    <row r="663" spans="5:5" ht="12.75" x14ac:dyDescent="0.35">
      <c r="E663" s="44"/>
    </row>
    <row r="664" spans="5:5" ht="12.75" x14ac:dyDescent="0.35">
      <c r="E664" s="44"/>
    </row>
    <row r="665" spans="5:5" ht="12.75" x14ac:dyDescent="0.35">
      <c r="E665" s="44"/>
    </row>
    <row r="666" spans="5:5" ht="12.75" x14ac:dyDescent="0.35">
      <c r="E666" s="44"/>
    </row>
    <row r="667" spans="5:5" ht="12.75" x14ac:dyDescent="0.35">
      <c r="E667" s="44"/>
    </row>
    <row r="668" spans="5:5" ht="12.75" x14ac:dyDescent="0.35">
      <c r="E668" s="44"/>
    </row>
    <row r="669" spans="5:5" ht="12.75" x14ac:dyDescent="0.35">
      <c r="E669" s="44"/>
    </row>
    <row r="670" spans="5:5" ht="12.75" x14ac:dyDescent="0.35">
      <c r="E670" s="44"/>
    </row>
    <row r="671" spans="5:5" ht="12.75" x14ac:dyDescent="0.35">
      <c r="E671" s="44"/>
    </row>
    <row r="672" spans="5:5" ht="12.75" x14ac:dyDescent="0.35">
      <c r="E672" s="44"/>
    </row>
    <row r="673" spans="5:5" ht="12.75" x14ac:dyDescent="0.35">
      <c r="E673" s="44"/>
    </row>
    <row r="674" spans="5:5" ht="12.75" x14ac:dyDescent="0.35">
      <c r="E674" s="44"/>
    </row>
    <row r="675" spans="5:5" ht="12.75" x14ac:dyDescent="0.35">
      <c r="E675" s="44"/>
    </row>
    <row r="676" spans="5:5" ht="12.75" x14ac:dyDescent="0.35">
      <c r="E676" s="44"/>
    </row>
    <row r="677" spans="5:5" ht="12.75" x14ac:dyDescent="0.35">
      <c r="E677" s="44"/>
    </row>
    <row r="678" spans="5:5" ht="12.75" x14ac:dyDescent="0.35">
      <c r="E678" s="44"/>
    </row>
    <row r="679" spans="5:5" ht="12.75" x14ac:dyDescent="0.35">
      <c r="E679" s="44"/>
    </row>
    <row r="680" spans="5:5" ht="12.75" x14ac:dyDescent="0.35">
      <c r="E680" s="44"/>
    </row>
    <row r="681" spans="5:5" ht="12.75" x14ac:dyDescent="0.35">
      <c r="E681" s="44"/>
    </row>
    <row r="682" spans="5:5" ht="12.75" x14ac:dyDescent="0.35">
      <c r="E682" s="44"/>
    </row>
    <row r="683" spans="5:5" ht="12.75" x14ac:dyDescent="0.35">
      <c r="E683" s="44"/>
    </row>
    <row r="684" spans="5:5" ht="12.75" x14ac:dyDescent="0.35">
      <c r="E684" s="44"/>
    </row>
    <row r="685" spans="5:5" ht="12.75" x14ac:dyDescent="0.35">
      <c r="E685" s="44"/>
    </row>
    <row r="686" spans="5:5" ht="12.75" x14ac:dyDescent="0.35">
      <c r="E686" s="44"/>
    </row>
    <row r="687" spans="5:5" ht="12.75" x14ac:dyDescent="0.35">
      <c r="E687" s="44"/>
    </row>
    <row r="688" spans="5:5" ht="12.75" x14ac:dyDescent="0.35">
      <c r="E688" s="44"/>
    </row>
    <row r="689" spans="5:5" ht="12.75" x14ac:dyDescent="0.35">
      <c r="E689" s="44"/>
    </row>
    <row r="690" spans="5:5" ht="12.75" x14ac:dyDescent="0.35">
      <c r="E690" s="44"/>
    </row>
    <row r="691" spans="5:5" ht="12.75" x14ac:dyDescent="0.35">
      <c r="E691" s="44"/>
    </row>
    <row r="692" spans="5:5" ht="12.75" x14ac:dyDescent="0.35">
      <c r="E692" s="44"/>
    </row>
    <row r="693" spans="5:5" ht="12.75" x14ac:dyDescent="0.35">
      <c r="E693" s="44"/>
    </row>
    <row r="694" spans="5:5" ht="12.75" x14ac:dyDescent="0.35">
      <c r="E694" s="44"/>
    </row>
    <row r="695" spans="5:5" ht="12.75" x14ac:dyDescent="0.35">
      <c r="E695" s="44"/>
    </row>
    <row r="696" spans="5:5" ht="12.75" x14ac:dyDescent="0.35">
      <c r="E696" s="44"/>
    </row>
    <row r="697" spans="5:5" ht="12.75" x14ac:dyDescent="0.35">
      <c r="E697" s="44"/>
    </row>
    <row r="698" spans="5:5" ht="12.75" x14ac:dyDescent="0.35">
      <c r="E698" s="44"/>
    </row>
    <row r="699" spans="5:5" ht="12.75" x14ac:dyDescent="0.35">
      <c r="E699" s="44"/>
    </row>
    <row r="700" spans="5:5" ht="12.75" x14ac:dyDescent="0.35">
      <c r="E700" s="44"/>
    </row>
    <row r="701" spans="5:5" ht="12.75" x14ac:dyDescent="0.35">
      <c r="E701" s="44"/>
    </row>
    <row r="702" spans="5:5" ht="12.75" x14ac:dyDescent="0.35">
      <c r="E702" s="44"/>
    </row>
    <row r="703" spans="5:5" ht="12.75" x14ac:dyDescent="0.35">
      <c r="E703" s="44"/>
    </row>
    <row r="704" spans="5:5" ht="12.75" x14ac:dyDescent="0.35">
      <c r="E704" s="44"/>
    </row>
    <row r="705" spans="5:5" ht="12.75" x14ac:dyDescent="0.35">
      <c r="E705" s="44"/>
    </row>
    <row r="706" spans="5:5" ht="12.75" x14ac:dyDescent="0.35">
      <c r="E706" s="44"/>
    </row>
    <row r="707" spans="5:5" ht="12.75" x14ac:dyDescent="0.35">
      <c r="E707" s="44"/>
    </row>
    <row r="708" spans="5:5" ht="12.75" x14ac:dyDescent="0.35">
      <c r="E708" s="44"/>
    </row>
    <row r="709" spans="5:5" ht="12.75" x14ac:dyDescent="0.35">
      <c r="E709" s="44"/>
    </row>
    <row r="710" spans="5:5" ht="12.75" x14ac:dyDescent="0.35">
      <c r="E710" s="44"/>
    </row>
    <row r="711" spans="5:5" ht="12.75" x14ac:dyDescent="0.35">
      <c r="E711" s="44"/>
    </row>
    <row r="712" spans="5:5" ht="12.75" x14ac:dyDescent="0.35">
      <c r="E712" s="44"/>
    </row>
    <row r="713" spans="5:5" ht="12.75" x14ac:dyDescent="0.35">
      <c r="E713" s="44"/>
    </row>
    <row r="714" spans="5:5" ht="12.75" x14ac:dyDescent="0.35">
      <c r="E714" s="44"/>
    </row>
    <row r="715" spans="5:5" ht="12.75" x14ac:dyDescent="0.35">
      <c r="E715" s="44"/>
    </row>
    <row r="716" spans="5:5" ht="12.75" x14ac:dyDescent="0.35">
      <c r="E716" s="44"/>
    </row>
    <row r="717" spans="5:5" ht="12.75" x14ac:dyDescent="0.35">
      <c r="E717" s="44"/>
    </row>
    <row r="718" spans="5:5" ht="12.75" x14ac:dyDescent="0.35">
      <c r="E718" s="44"/>
    </row>
    <row r="719" spans="5:5" ht="12.75" x14ac:dyDescent="0.35">
      <c r="E719" s="44"/>
    </row>
    <row r="720" spans="5:5" ht="12.75" x14ac:dyDescent="0.35">
      <c r="E720" s="44"/>
    </row>
    <row r="721" spans="5:5" ht="12.75" x14ac:dyDescent="0.35">
      <c r="E721" s="44"/>
    </row>
    <row r="722" spans="5:5" ht="12.75" x14ac:dyDescent="0.35">
      <c r="E722" s="44"/>
    </row>
    <row r="723" spans="5:5" ht="12.75" x14ac:dyDescent="0.35">
      <c r="E723" s="44"/>
    </row>
    <row r="724" spans="5:5" ht="12.75" x14ac:dyDescent="0.35">
      <c r="E724" s="44"/>
    </row>
    <row r="725" spans="5:5" ht="12.75" x14ac:dyDescent="0.35">
      <c r="E725" s="44"/>
    </row>
    <row r="726" spans="5:5" ht="12.75" x14ac:dyDescent="0.35">
      <c r="E726" s="44"/>
    </row>
    <row r="727" spans="5:5" ht="12.75" x14ac:dyDescent="0.35">
      <c r="E727" s="44"/>
    </row>
    <row r="728" spans="5:5" ht="12.75" x14ac:dyDescent="0.35">
      <c r="E728" s="44"/>
    </row>
    <row r="729" spans="5:5" ht="12.75" x14ac:dyDescent="0.35">
      <c r="E729" s="44"/>
    </row>
    <row r="730" spans="5:5" ht="12.75" x14ac:dyDescent="0.35">
      <c r="E730" s="44"/>
    </row>
    <row r="731" spans="5:5" ht="12.75" x14ac:dyDescent="0.35">
      <c r="E731" s="44"/>
    </row>
    <row r="732" spans="5:5" ht="12.75" x14ac:dyDescent="0.35">
      <c r="E732" s="44"/>
    </row>
    <row r="733" spans="5:5" ht="12.75" x14ac:dyDescent="0.35">
      <c r="E733" s="44"/>
    </row>
    <row r="734" spans="5:5" ht="12.75" x14ac:dyDescent="0.35">
      <c r="E734" s="44"/>
    </row>
    <row r="735" spans="5:5" ht="12.75" x14ac:dyDescent="0.35">
      <c r="E735" s="44"/>
    </row>
    <row r="736" spans="5:5" ht="12.75" x14ac:dyDescent="0.35">
      <c r="E736" s="44"/>
    </row>
    <row r="737" spans="5:5" ht="12.75" x14ac:dyDescent="0.35">
      <c r="E737" s="44"/>
    </row>
    <row r="738" spans="5:5" ht="12.75" x14ac:dyDescent="0.35">
      <c r="E738" s="44"/>
    </row>
    <row r="739" spans="5:5" ht="12.75" x14ac:dyDescent="0.35">
      <c r="E739" s="44"/>
    </row>
    <row r="740" spans="5:5" ht="12.75" x14ac:dyDescent="0.35">
      <c r="E740" s="44"/>
    </row>
    <row r="741" spans="5:5" ht="12.75" x14ac:dyDescent="0.35">
      <c r="E741" s="44"/>
    </row>
    <row r="742" spans="5:5" ht="12.75" x14ac:dyDescent="0.35">
      <c r="E742" s="44"/>
    </row>
    <row r="743" spans="5:5" ht="12.75" x14ac:dyDescent="0.35">
      <c r="E743" s="44"/>
    </row>
    <row r="744" spans="5:5" ht="12.75" x14ac:dyDescent="0.35">
      <c r="E744" s="44"/>
    </row>
    <row r="745" spans="5:5" ht="12.75" x14ac:dyDescent="0.35">
      <c r="E745" s="44"/>
    </row>
    <row r="746" spans="5:5" ht="12.75" x14ac:dyDescent="0.35">
      <c r="E746" s="44"/>
    </row>
    <row r="747" spans="5:5" ht="12.75" x14ac:dyDescent="0.35">
      <c r="E747" s="44"/>
    </row>
    <row r="748" spans="5:5" ht="12.75" x14ac:dyDescent="0.35">
      <c r="E748" s="44"/>
    </row>
    <row r="749" spans="5:5" ht="12.75" x14ac:dyDescent="0.35">
      <c r="E749" s="44"/>
    </row>
    <row r="750" spans="5:5" ht="12.75" x14ac:dyDescent="0.35">
      <c r="E750" s="44"/>
    </row>
    <row r="751" spans="5:5" ht="12.75" x14ac:dyDescent="0.35">
      <c r="E751" s="44"/>
    </row>
    <row r="752" spans="5:5" ht="12.75" x14ac:dyDescent="0.35">
      <c r="E752" s="44"/>
    </row>
    <row r="753" spans="5:5" ht="12.75" x14ac:dyDescent="0.35">
      <c r="E753" s="44"/>
    </row>
    <row r="754" spans="5:5" ht="12.75" x14ac:dyDescent="0.35">
      <c r="E754" s="44"/>
    </row>
    <row r="755" spans="5:5" ht="12.75" x14ac:dyDescent="0.35">
      <c r="E755" s="44"/>
    </row>
    <row r="756" spans="5:5" ht="12.75" x14ac:dyDescent="0.35">
      <c r="E756" s="44"/>
    </row>
    <row r="757" spans="5:5" ht="12.75" x14ac:dyDescent="0.35">
      <c r="E757" s="44"/>
    </row>
    <row r="758" spans="5:5" ht="12.75" x14ac:dyDescent="0.35">
      <c r="E758" s="44"/>
    </row>
    <row r="759" spans="5:5" ht="12.75" x14ac:dyDescent="0.35">
      <c r="E759" s="44"/>
    </row>
    <row r="760" spans="5:5" ht="12.75" x14ac:dyDescent="0.35">
      <c r="E760" s="44"/>
    </row>
    <row r="761" spans="5:5" ht="12.75" x14ac:dyDescent="0.35">
      <c r="E761" s="44"/>
    </row>
    <row r="762" spans="5:5" ht="12.75" x14ac:dyDescent="0.35">
      <c r="E762" s="44"/>
    </row>
    <row r="763" spans="5:5" ht="12.75" x14ac:dyDescent="0.35">
      <c r="E763" s="44"/>
    </row>
    <row r="764" spans="5:5" ht="12.75" x14ac:dyDescent="0.35">
      <c r="E764" s="44"/>
    </row>
    <row r="765" spans="5:5" ht="12.75" x14ac:dyDescent="0.35">
      <c r="E765" s="44"/>
    </row>
    <row r="766" spans="5:5" ht="12.75" x14ac:dyDescent="0.35">
      <c r="E766" s="44"/>
    </row>
    <row r="767" spans="5:5" ht="12.75" x14ac:dyDescent="0.35">
      <c r="E767" s="44"/>
    </row>
    <row r="768" spans="5:5" ht="12.75" x14ac:dyDescent="0.35">
      <c r="E768" s="44"/>
    </row>
    <row r="769" spans="5:5" ht="12.75" x14ac:dyDescent="0.35">
      <c r="E769" s="44"/>
    </row>
    <row r="770" spans="5:5" ht="12.75" x14ac:dyDescent="0.35">
      <c r="E770" s="44"/>
    </row>
    <row r="771" spans="5:5" ht="12.75" x14ac:dyDescent="0.35">
      <c r="E771" s="44"/>
    </row>
    <row r="772" spans="5:5" ht="12.75" x14ac:dyDescent="0.35">
      <c r="E772" s="44"/>
    </row>
    <row r="773" spans="5:5" ht="12.75" x14ac:dyDescent="0.35">
      <c r="E773" s="44"/>
    </row>
    <row r="774" spans="5:5" ht="12.75" x14ac:dyDescent="0.35">
      <c r="E774" s="44"/>
    </row>
    <row r="775" spans="5:5" ht="12.75" x14ac:dyDescent="0.35">
      <c r="E775" s="44"/>
    </row>
    <row r="776" spans="5:5" ht="12.75" x14ac:dyDescent="0.35">
      <c r="E776" s="44"/>
    </row>
    <row r="777" spans="5:5" ht="12.75" x14ac:dyDescent="0.35">
      <c r="E777" s="44"/>
    </row>
    <row r="778" spans="5:5" ht="12.75" x14ac:dyDescent="0.35">
      <c r="E778" s="44"/>
    </row>
    <row r="779" spans="5:5" ht="12.75" x14ac:dyDescent="0.35">
      <c r="E779" s="44"/>
    </row>
    <row r="780" spans="5:5" ht="12.75" x14ac:dyDescent="0.35">
      <c r="E780" s="44"/>
    </row>
    <row r="781" spans="5:5" ht="12.75" x14ac:dyDescent="0.35">
      <c r="E781" s="44"/>
    </row>
    <row r="782" spans="5:5" ht="12.75" x14ac:dyDescent="0.35">
      <c r="E782" s="44"/>
    </row>
    <row r="783" spans="5:5" ht="12.75" x14ac:dyDescent="0.35">
      <c r="E783" s="44"/>
    </row>
    <row r="784" spans="5:5" ht="12.75" x14ac:dyDescent="0.35">
      <c r="E784" s="44"/>
    </row>
    <row r="785" spans="5:5" ht="12.75" x14ac:dyDescent="0.35">
      <c r="E785" s="44"/>
    </row>
    <row r="786" spans="5:5" ht="12.75" x14ac:dyDescent="0.35">
      <c r="E786" s="44"/>
    </row>
    <row r="787" spans="5:5" ht="12.75" x14ac:dyDescent="0.35">
      <c r="E787" s="44"/>
    </row>
    <row r="788" spans="5:5" ht="12.75" x14ac:dyDescent="0.35">
      <c r="E788" s="44"/>
    </row>
    <row r="789" spans="5:5" ht="12.75" x14ac:dyDescent="0.35">
      <c r="E789" s="44"/>
    </row>
    <row r="790" spans="5:5" ht="12.75" x14ac:dyDescent="0.35">
      <c r="E790" s="44"/>
    </row>
    <row r="791" spans="5:5" ht="12.75" x14ac:dyDescent="0.35">
      <c r="E791" s="44"/>
    </row>
    <row r="792" spans="5:5" ht="12.75" x14ac:dyDescent="0.35">
      <c r="E792" s="44"/>
    </row>
    <row r="793" spans="5:5" ht="12.75" x14ac:dyDescent="0.35">
      <c r="E793" s="44"/>
    </row>
    <row r="794" spans="5:5" ht="12.75" x14ac:dyDescent="0.35">
      <c r="E794" s="44"/>
    </row>
    <row r="795" spans="5:5" ht="12.75" x14ac:dyDescent="0.35">
      <c r="E795" s="44"/>
    </row>
    <row r="796" spans="5:5" ht="12.75" x14ac:dyDescent="0.35">
      <c r="E796" s="44"/>
    </row>
    <row r="797" spans="5:5" ht="12.75" x14ac:dyDescent="0.35">
      <c r="E797" s="44"/>
    </row>
    <row r="798" spans="5:5" ht="12.75" x14ac:dyDescent="0.35">
      <c r="E798" s="44"/>
    </row>
    <row r="799" spans="5:5" ht="12.75" x14ac:dyDescent="0.35">
      <c r="E799" s="44"/>
    </row>
    <row r="800" spans="5:5" ht="12.75" x14ac:dyDescent="0.35">
      <c r="E800" s="44"/>
    </row>
    <row r="801" spans="5:5" ht="12.75" x14ac:dyDescent="0.35">
      <c r="E801" s="44"/>
    </row>
    <row r="802" spans="5:5" ht="12.75" x14ac:dyDescent="0.35">
      <c r="E802" s="44"/>
    </row>
    <row r="803" spans="5:5" ht="12.75" x14ac:dyDescent="0.35">
      <c r="E803" s="44"/>
    </row>
    <row r="804" spans="5:5" ht="12.75" x14ac:dyDescent="0.35">
      <c r="E804" s="44"/>
    </row>
    <row r="805" spans="5:5" ht="12.75" x14ac:dyDescent="0.35">
      <c r="E805" s="44"/>
    </row>
    <row r="806" spans="5:5" ht="12.75" x14ac:dyDescent="0.35">
      <c r="E806" s="44"/>
    </row>
    <row r="807" spans="5:5" ht="12.75" x14ac:dyDescent="0.35">
      <c r="E807" s="44"/>
    </row>
    <row r="808" spans="5:5" ht="12.75" x14ac:dyDescent="0.35">
      <c r="E808" s="44"/>
    </row>
    <row r="809" spans="5:5" ht="12.75" x14ac:dyDescent="0.35">
      <c r="E809" s="44"/>
    </row>
    <row r="810" spans="5:5" ht="12.75" x14ac:dyDescent="0.35">
      <c r="E810" s="44"/>
    </row>
    <row r="811" spans="5:5" ht="12.75" x14ac:dyDescent="0.35">
      <c r="E811" s="44"/>
    </row>
    <row r="812" spans="5:5" ht="12.75" x14ac:dyDescent="0.35">
      <c r="E812" s="44"/>
    </row>
    <row r="813" spans="5:5" ht="12.75" x14ac:dyDescent="0.35">
      <c r="E813" s="44"/>
    </row>
    <row r="814" spans="5:5" ht="12.75" x14ac:dyDescent="0.35">
      <c r="E814" s="44"/>
    </row>
    <row r="815" spans="5:5" ht="12.75" x14ac:dyDescent="0.35">
      <c r="E815" s="44"/>
    </row>
    <row r="816" spans="5:5" ht="12.75" x14ac:dyDescent="0.35">
      <c r="E816" s="44"/>
    </row>
    <row r="817" spans="5:5" ht="12.75" x14ac:dyDescent="0.35">
      <c r="E817" s="44"/>
    </row>
    <row r="818" spans="5:5" ht="12.75" x14ac:dyDescent="0.35">
      <c r="E818" s="44"/>
    </row>
    <row r="819" spans="5:5" ht="12.75" x14ac:dyDescent="0.35">
      <c r="E819" s="44"/>
    </row>
    <row r="820" spans="5:5" ht="12.75" x14ac:dyDescent="0.35">
      <c r="E820" s="44"/>
    </row>
    <row r="821" spans="5:5" ht="12.75" x14ac:dyDescent="0.35">
      <c r="E821" s="44"/>
    </row>
    <row r="822" spans="5:5" ht="12.75" x14ac:dyDescent="0.35">
      <c r="E822" s="44"/>
    </row>
    <row r="823" spans="5:5" ht="12.75" x14ac:dyDescent="0.35">
      <c r="E823" s="44"/>
    </row>
    <row r="824" spans="5:5" ht="12.75" x14ac:dyDescent="0.35">
      <c r="E824" s="44"/>
    </row>
    <row r="825" spans="5:5" ht="12.75" x14ac:dyDescent="0.35">
      <c r="E825" s="44"/>
    </row>
    <row r="826" spans="5:5" ht="12.75" x14ac:dyDescent="0.35">
      <c r="E826" s="44"/>
    </row>
    <row r="827" spans="5:5" ht="12.75" x14ac:dyDescent="0.35">
      <c r="E827" s="44"/>
    </row>
    <row r="828" spans="5:5" ht="12.75" x14ac:dyDescent="0.35">
      <c r="E828" s="44"/>
    </row>
    <row r="829" spans="5:5" ht="12.75" x14ac:dyDescent="0.35">
      <c r="E829" s="44"/>
    </row>
    <row r="830" spans="5:5" ht="12.75" x14ac:dyDescent="0.35">
      <c r="E830" s="44"/>
    </row>
    <row r="831" spans="5:5" ht="12.75" x14ac:dyDescent="0.35">
      <c r="E831" s="44"/>
    </row>
    <row r="832" spans="5:5" ht="12.75" x14ac:dyDescent="0.35">
      <c r="E832" s="44"/>
    </row>
    <row r="833" spans="5:5" ht="12.75" x14ac:dyDescent="0.35">
      <c r="E833" s="44"/>
    </row>
    <row r="834" spans="5:5" ht="12.75" x14ac:dyDescent="0.35">
      <c r="E834" s="44"/>
    </row>
    <row r="835" spans="5:5" ht="12.75" x14ac:dyDescent="0.35">
      <c r="E835" s="44"/>
    </row>
    <row r="836" spans="5:5" ht="12.75" x14ac:dyDescent="0.35">
      <c r="E836" s="44"/>
    </row>
    <row r="837" spans="5:5" ht="12.75" x14ac:dyDescent="0.35">
      <c r="E837" s="44"/>
    </row>
    <row r="838" spans="5:5" ht="12.75" x14ac:dyDescent="0.35">
      <c r="E838" s="44"/>
    </row>
    <row r="839" spans="5:5" ht="12.75" x14ac:dyDescent="0.35">
      <c r="E839" s="44"/>
    </row>
    <row r="840" spans="5:5" ht="12.75" x14ac:dyDescent="0.35">
      <c r="E840" s="44"/>
    </row>
    <row r="841" spans="5:5" ht="12.75" x14ac:dyDescent="0.35">
      <c r="E841" s="44"/>
    </row>
    <row r="842" spans="5:5" ht="12.75" x14ac:dyDescent="0.35">
      <c r="E842" s="44"/>
    </row>
    <row r="843" spans="5:5" ht="12.75" x14ac:dyDescent="0.35">
      <c r="E843" s="44"/>
    </row>
    <row r="844" spans="5:5" ht="12.75" x14ac:dyDescent="0.35">
      <c r="E844" s="44"/>
    </row>
    <row r="845" spans="5:5" ht="12.75" x14ac:dyDescent="0.35">
      <c r="E845" s="44"/>
    </row>
    <row r="846" spans="5:5" ht="12.75" x14ac:dyDescent="0.35">
      <c r="E846" s="44"/>
    </row>
    <row r="847" spans="5:5" ht="12.75" x14ac:dyDescent="0.35">
      <c r="E847" s="44"/>
    </row>
    <row r="848" spans="5:5" ht="12.75" x14ac:dyDescent="0.35">
      <c r="E848" s="44"/>
    </row>
    <row r="849" spans="5:5" ht="12.75" x14ac:dyDescent="0.35">
      <c r="E849" s="44"/>
    </row>
    <row r="850" spans="5:5" ht="12.75" x14ac:dyDescent="0.35">
      <c r="E850" s="44"/>
    </row>
    <row r="851" spans="5:5" ht="12.75" x14ac:dyDescent="0.35">
      <c r="E851" s="44"/>
    </row>
    <row r="852" spans="5:5" ht="12.75" x14ac:dyDescent="0.35">
      <c r="E852" s="44"/>
    </row>
    <row r="853" spans="5:5" ht="12.75" x14ac:dyDescent="0.35">
      <c r="E853" s="44"/>
    </row>
    <row r="854" spans="5:5" ht="12.75" x14ac:dyDescent="0.35">
      <c r="E854" s="44"/>
    </row>
    <row r="855" spans="5:5" ht="12.75" x14ac:dyDescent="0.35">
      <c r="E855" s="44"/>
    </row>
    <row r="856" spans="5:5" ht="12.75" x14ac:dyDescent="0.35">
      <c r="E856" s="44"/>
    </row>
    <row r="857" spans="5:5" ht="12.75" x14ac:dyDescent="0.35">
      <c r="E857" s="44"/>
    </row>
    <row r="858" spans="5:5" ht="12.75" x14ac:dyDescent="0.35">
      <c r="E858" s="44"/>
    </row>
    <row r="859" spans="5:5" ht="12.75" x14ac:dyDescent="0.35">
      <c r="E859" s="44"/>
    </row>
    <row r="860" spans="5:5" ht="12.75" x14ac:dyDescent="0.35">
      <c r="E860" s="44"/>
    </row>
    <row r="861" spans="5:5" ht="12.75" x14ac:dyDescent="0.35">
      <c r="E861" s="44"/>
    </row>
    <row r="862" spans="5:5" ht="12.75" x14ac:dyDescent="0.35">
      <c r="E862" s="44"/>
    </row>
    <row r="863" spans="5:5" ht="12.75" x14ac:dyDescent="0.35">
      <c r="E863" s="44"/>
    </row>
    <row r="864" spans="5:5" ht="12.75" x14ac:dyDescent="0.35">
      <c r="E864" s="44"/>
    </row>
    <row r="865" spans="5:5" ht="12.75" x14ac:dyDescent="0.35">
      <c r="E865" s="44"/>
    </row>
    <row r="866" spans="5:5" ht="12.75" x14ac:dyDescent="0.35">
      <c r="E866" s="44"/>
    </row>
    <row r="867" spans="5:5" ht="12.75" x14ac:dyDescent="0.35">
      <c r="E867" s="44"/>
    </row>
    <row r="868" spans="5:5" ht="12.75" x14ac:dyDescent="0.35">
      <c r="E868" s="44"/>
    </row>
    <row r="869" spans="5:5" ht="12.75" x14ac:dyDescent="0.35">
      <c r="E869" s="44"/>
    </row>
    <row r="870" spans="5:5" ht="12.75" x14ac:dyDescent="0.35">
      <c r="E870" s="44"/>
    </row>
    <row r="871" spans="5:5" ht="12.75" x14ac:dyDescent="0.35">
      <c r="E871" s="44"/>
    </row>
    <row r="872" spans="5:5" ht="12.75" x14ac:dyDescent="0.35">
      <c r="E872" s="44"/>
    </row>
    <row r="873" spans="5:5" ht="12.75" x14ac:dyDescent="0.35">
      <c r="E873" s="44"/>
    </row>
    <row r="874" spans="5:5" ht="12.75" x14ac:dyDescent="0.35">
      <c r="E874" s="44"/>
    </row>
    <row r="875" spans="5:5" ht="12.75" x14ac:dyDescent="0.35">
      <c r="E875" s="44"/>
    </row>
    <row r="876" spans="5:5" ht="12.75" x14ac:dyDescent="0.35">
      <c r="E876" s="44"/>
    </row>
    <row r="877" spans="5:5" ht="12.75" x14ac:dyDescent="0.35">
      <c r="E877" s="44"/>
    </row>
    <row r="878" spans="5:5" ht="12.75" x14ac:dyDescent="0.35">
      <c r="E878" s="44"/>
    </row>
    <row r="879" spans="5:5" ht="12.75" x14ac:dyDescent="0.35">
      <c r="E879" s="44"/>
    </row>
    <row r="880" spans="5:5" ht="12.75" x14ac:dyDescent="0.35">
      <c r="E880" s="44"/>
    </row>
    <row r="881" spans="5:5" ht="12.75" x14ac:dyDescent="0.35">
      <c r="E881" s="44"/>
    </row>
    <row r="882" spans="5:5" ht="12.75" x14ac:dyDescent="0.35">
      <c r="E882" s="44"/>
    </row>
    <row r="883" spans="5:5" ht="12.75" x14ac:dyDescent="0.35">
      <c r="E883" s="44"/>
    </row>
    <row r="884" spans="5:5" ht="12.75" x14ac:dyDescent="0.35">
      <c r="E884" s="44"/>
    </row>
    <row r="885" spans="5:5" ht="12.75" x14ac:dyDescent="0.35">
      <c r="E885" s="44"/>
    </row>
    <row r="886" spans="5:5" ht="12.75" x14ac:dyDescent="0.35">
      <c r="E886" s="44"/>
    </row>
    <row r="887" spans="5:5" ht="12.75" x14ac:dyDescent="0.35">
      <c r="E887" s="44"/>
    </row>
    <row r="888" spans="5:5" ht="12.75" x14ac:dyDescent="0.35">
      <c r="E888" s="44"/>
    </row>
    <row r="889" spans="5:5" ht="12.75" x14ac:dyDescent="0.35">
      <c r="E889" s="44"/>
    </row>
    <row r="890" spans="5:5" ht="12.75" x14ac:dyDescent="0.35">
      <c r="E890" s="44"/>
    </row>
    <row r="891" spans="5:5" ht="12.75" x14ac:dyDescent="0.35">
      <c r="E891" s="44"/>
    </row>
    <row r="892" spans="5:5" ht="12.75" x14ac:dyDescent="0.35">
      <c r="E892" s="44"/>
    </row>
    <row r="893" spans="5:5" ht="12.75" x14ac:dyDescent="0.35">
      <c r="E893" s="44"/>
    </row>
    <row r="894" spans="5:5" ht="12.75" x14ac:dyDescent="0.35">
      <c r="E894" s="44"/>
    </row>
    <row r="895" spans="5:5" ht="12.75" x14ac:dyDescent="0.35">
      <c r="E895" s="44"/>
    </row>
    <row r="896" spans="5:5" ht="12.75" x14ac:dyDescent="0.35">
      <c r="E896" s="44"/>
    </row>
    <row r="897" spans="5:5" ht="12.75" x14ac:dyDescent="0.35">
      <c r="E897" s="44"/>
    </row>
    <row r="898" spans="5:5" ht="12.75" x14ac:dyDescent="0.35">
      <c r="E898" s="44"/>
    </row>
    <row r="899" spans="5:5" ht="12.75" x14ac:dyDescent="0.35">
      <c r="E899" s="44"/>
    </row>
    <row r="900" spans="5:5" ht="12.75" x14ac:dyDescent="0.35">
      <c r="E900" s="44"/>
    </row>
    <row r="901" spans="5:5" ht="12.75" x14ac:dyDescent="0.35">
      <c r="E901" s="44"/>
    </row>
    <row r="902" spans="5:5" ht="12.75" x14ac:dyDescent="0.35">
      <c r="E902" s="44"/>
    </row>
    <row r="903" spans="5:5" ht="12.75" x14ac:dyDescent="0.35">
      <c r="E903" s="44"/>
    </row>
    <row r="904" spans="5:5" ht="12.75" x14ac:dyDescent="0.35">
      <c r="E904" s="44"/>
    </row>
    <row r="905" spans="5:5" ht="12.75" x14ac:dyDescent="0.35">
      <c r="E905" s="44"/>
    </row>
    <row r="906" spans="5:5" ht="12.75" x14ac:dyDescent="0.35">
      <c r="E906" s="44"/>
    </row>
    <row r="907" spans="5:5" ht="12.75" x14ac:dyDescent="0.35">
      <c r="E907" s="44"/>
    </row>
    <row r="908" spans="5:5" ht="12.75" x14ac:dyDescent="0.35">
      <c r="E908" s="44"/>
    </row>
    <row r="909" spans="5:5" ht="12.75" x14ac:dyDescent="0.35">
      <c r="E909" s="44"/>
    </row>
    <row r="910" spans="5:5" ht="12.75" x14ac:dyDescent="0.35">
      <c r="E910" s="44"/>
    </row>
    <row r="911" spans="5:5" ht="12.75" x14ac:dyDescent="0.35">
      <c r="E911" s="44"/>
    </row>
    <row r="912" spans="5:5" ht="12.75" x14ac:dyDescent="0.35">
      <c r="E912" s="44"/>
    </row>
    <row r="913" spans="5:5" ht="12.75" x14ac:dyDescent="0.35">
      <c r="E913" s="44"/>
    </row>
    <row r="914" spans="5:5" ht="12.75" x14ac:dyDescent="0.35">
      <c r="E914" s="44"/>
    </row>
    <row r="915" spans="5:5" ht="12.75" x14ac:dyDescent="0.35">
      <c r="E915" s="44"/>
    </row>
    <row r="916" spans="5:5" ht="12.75" x14ac:dyDescent="0.35">
      <c r="E916" s="44"/>
    </row>
    <row r="917" spans="5:5" ht="12.75" x14ac:dyDescent="0.35">
      <c r="E917" s="44"/>
    </row>
    <row r="918" spans="5:5" ht="12.75" x14ac:dyDescent="0.35">
      <c r="E918" s="44"/>
    </row>
    <row r="919" spans="5:5" ht="12.75" x14ac:dyDescent="0.35">
      <c r="E919" s="44"/>
    </row>
    <row r="920" spans="5:5" ht="12.75" x14ac:dyDescent="0.35">
      <c r="E920" s="44"/>
    </row>
    <row r="921" spans="5:5" ht="12.75" x14ac:dyDescent="0.35">
      <c r="E921" s="44"/>
    </row>
    <row r="922" spans="5:5" ht="12.75" x14ac:dyDescent="0.35">
      <c r="E922" s="44"/>
    </row>
    <row r="923" spans="5:5" ht="12.75" x14ac:dyDescent="0.35">
      <c r="E923" s="44"/>
    </row>
    <row r="924" spans="5:5" ht="12.75" x14ac:dyDescent="0.35">
      <c r="E924" s="44"/>
    </row>
    <row r="925" spans="5:5" ht="12.75" x14ac:dyDescent="0.35">
      <c r="E925" s="44"/>
    </row>
    <row r="926" spans="5:5" ht="12.75" x14ac:dyDescent="0.35">
      <c r="E926" s="44"/>
    </row>
    <row r="927" spans="5:5" ht="12.75" x14ac:dyDescent="0.35">
      <c r="E927" s="44"/>
    </row>
    <row r="928" spans="5:5" ht="12.75" x14ac:dyDescent="0.35">
      <c r="E928" s="44"/>
    </row>
    <row r="929" spans="5:5" ht="12.75" x14ac:dyDescent="0.35">
      <c r="E929" s="44"/>
    </row>
    <row r="930" spans="5:5" ht="12.75" x14ac:dyDescent="0.35">
      <c r="E930" s="44"/>
    </row>
    <row r="931" spans="5:5" ht="12.75" x14ac:dyDescent="0.35">
      <c r="E931" s="44"/>
    </row>
    <row r="932" spans="5:5" ht="12.75" x14ac:dyDescent="0.35">
      <c r="E932" s="44"/>
    </row>
    <row r="933" spans="5:5" ht="12.75" x14ac:dyDescent="0.35">
      <c r="E933" s="44"/>
    </row>
    <row r="934" spans="5:5" ht="12.75" x14ac:dyDescent="0.35">
      <c r="E934" s="44"/>
    </row>
    <row r="935" spans="5:5" ht="12.75" x14ac:dyDescent="0.35">
      <c r="E935" s="44"/>
    </row>
    <row r="936" spans="5:5" ht="12.75" x14ac:dyDescent="0.35">
      <c r="E936" s="44"/>
    </row>
    <row r="937" spans="5:5" ht="12.75" x14ac:dyDescent="0.35">
      <c r="E937" s="44"/>
    </row>
    <row r="938" spans="5:5" ht="12.75" x14ac:dyDescent="0.35">
      <c r="E938" s="44"/>
    </row>
    <row r="939" spans="5:5" ht="12.75" x14ac:dyDescent="0.35">
      <c r="E939" s="44"/>
    </row>
    <row r="940" spans="5:5" ht="12.75" x14ac:dyDescent="0.35">
      <c r="E940" s="44"/>
    </row>
    <row r="941" spans="5:5" ht="12.75" x14ac:dyDescent="0.35">
      <c r="E941" s="44"/>
    </row>
    <row r="942" spans="5:5" ht="12.75" x14ac:dyDescent="0.35">
      <c r="E942" s="44"/>
    </row>
    <row r="943" spans="5:5" ht="12.75" x14ac:dyDescent="0.35">
      <c r="E943" s="44"/>
    </row>
    <row r="944" spans="5:5" ht="12.75" x14ac:dyDescent="0.35">
      <c r="E944" s="44"/>
    </row>
    <row r="945" spans="5:5" ht="12.75" x14ac:dyDescent="0.35">
      <c r="E945" s="44"/>
    </row>
    <row r="946" spans="5:5" ht="12.75" x14ac:dyDescent="0.35">
      <c r="E946" s="44"/>
    </row>
    <row r="947" spans="5:5" ht="12.75" x14ac:dyDescent="0.35"/>
    <row r="948" spans="5:5" ht="12.75" x14ac:dyDescent="0.35"/>
    <row r="949" spans="5:5" ht="12.75" x14ac:dyDescent="0.35"/>
    <row r="950" spans="5:5" ht="12.75" x14ac:dyDescent="0.35"/>
    <row r="951" spans="5:5" ht="12.75" x14ac:dyDescent="0.35"/>
    <row r="952" spans="5:5" ht="12.75" x14ac:dyDescent="0.35"/>
    <row r="953" spans="5:5" ht="12.75" x14ac:dyDescent="0.35"/>
    <row r="954" spans="5:5" ht="12.75" x14ac:dyDescent="0.35"/>
    <row r="955" spans="5:5" ht="12.75" x14ac:dyDescent="0.35"/>
    <row r="956" spans="5:5" ht="12.75" x14ac:dyDescent="0.35"/>
    <row r="957" spans="5:5" ht="12.75" x14ac:dyDescent="0.35"/>
    <row r="958" spans="5:5" ht="12.75" x14ac:dyDescent="0.35"/>
    <row r="959" spans="5:5" ht="12.75" x14ac:dyDescent="0.35"/>
    <row r="960" spans="5:5" ht="12.75" x14ac:dyDescent="0.35"/>
    <row r="961" ht="12.75" x14ac:dyDescent="0.35"/>
    <row r="962" ht="12.75" x14ac:dyDescent="0.35"/>
    <row r="963" ht="12.75" x14ac:dyDescent="0.35"/>
    <row r="964" ht="12.75" x14ac:dyDescent="0.35"/>
    <row r="965" ht="12.75" x14ac:dyDescent="0.35"/>
    <row r="966" ht="12.75" x14ac:dyDescent="0.35"/>
    <row r="967" ht="12.75" x14ac:dyDescent="0.35"/>
    <row r="968" ht="12.75" x14ac:dyDescent="0.35"/>
    <row r="969" ht="12.75" x14ac:dyDescent="0.35"/>
    <row r="970" ht="12.75" x14ac:dyDescent="0.35"/>
    <row r="971" ht="12.75" x14ac:dyDescent="0.35"/>
    <row r="972" ht="12.75" x14ac:dyDescent="0.35"/>
    <row r="973" ht="12.75" x14ac:dyDescent="0.35"/>
    <row r="974" ht="12.75" x14ac:dyDescent="0.35"/>
    <row r="975" ht="12.75" x14ac:dyDescent="0.35"/>
    <row r="976" ht="12.75" x14ac:dyDescent="0.35"/>
    <row r="977" ht="12.75" x14ac:dyDescent="0.35"/>
    <row r="978" ht="12.75" x14ac:dyDescent="0.35"/>
    <row r="979" ht="12.75" x14ac:dyDescent="0.35"/>
    <row r="980" ht="12.75" x14ac:dyDescent="0.35"/>
    <row r="981" ht="12.75" x14ac:dyDescent="0.35"/>
    <row r="982" ht="12.75" x14ac:dyDescent="0.35"/>
    <row r="983" ht="12.75" x14ac:dyDescent="0.35"/>
    <row r="984" ht="12.75" x14ac:dyDescent="0.35"/>
    <row r="985" ht="12.75" x14ac:dyDescent="0.35"/>
    <row r="986" ht="12.75" x14ac:dyDescent="0.35"/>
    <row r="987" ht="12.75" x14ac:dyDescent="0.35"/>
    <row r="988" ht="12.75" x14ac:dyDescent="0.35"/>
    <row r="989" ht="12.75" x14ac:dyDescent="0.35"/>
    <row r="990" ht="12.75" x14ac:dyDescent="0.35"/>
    <row r="991" ht="12.75" x14ac:dyDescent="0.35"/>
    <row r="992" ht="12.75" x14ac:dyDescent="0.35"/>
    <row r="993" ht="12.75" x14ac:dyDescent="0.35"/>
    <row r="994" ht="12.75" x14ac:dyDescent="0.35"/>
    <row r="995" ht="12.75" x14ac:dyDescent="0.35"/>
    <row r="996" ht="12.75" x14ac:dyDescent="0.35"/>
    <row r="997" ht="12.75" x14ac:dyDescent="0.35"/>
    <row r="998" ht="12.75" x14ac:dyDescent="0.35"/>
    <row r="999" ht="12.75" x14ac:dyDescent="0.35"/>
    <row r="1000" ht="12.75" x14ac:dyDescent="0.35"/>
  </sheetData>
  <dataValidations count="1">
    <dataValidation type="list" allowBlank="1" sqref="C3:D5" xr:uid="{3D18A293-946D-4FC6-8E4F-9ACFE6D917A4}">
      <formula1>#REF!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Trips</vt:lpstr>
      <vt:lpstr>Travelers</vt:lpstr>
      <vt:lpstr>Expenses</vt:lpstr>
      <vt:lpstr>Payments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Kevin Narvaes</cp:lastModifiedBy>
  <dcterms:modified xsi:type="dcterms:W3CDTF">2026-09-17T02:44:21Z</dcterms:modified>
</cp:coreProperties>
</file>