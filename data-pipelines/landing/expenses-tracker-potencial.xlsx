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trip-expense-management\data-pipelines\landing\"/>
    </mc:Choice>
  </mc:AlternateContent>
  <xr:revisionPtr revIDLastSave="0" documentId="13_ncr:1_{83F63AF0-EB7A-49AE-90F1-8DF7C7A7586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rips" sheetId="1" r:id="rId1"/>
    <sheet name="Travelers" sheetId="2" r:id="rId2"/>
    <sheet name="Expenses" sheetId="3" r:id="rId3"/>
    <sheet name="Paym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I12" i="4"/>
  <c r="B12" i="4" a="1"/>
  <c r="B12" i="4" s="1"/>
  <c r="J11" i="4"/>
  <c r="I11" i="4"/>
  <c r="B11" i="4" a="1"/>
  <c r="B11" i="4" s="1"/>
  <c r="B10" i="4" a="1"/>
  <c r="B10" i="4" s="1"/>
  <c r="I10" i="4"/>
  <c r="J10" i="4"/>
  <c r="B9" i="4" a="1"/>
  <c r="B9" i="4" s="1"/>
  <c r="I9" i="4"/>
  <c r="J9" i="4"/>
  <c r="J8" i="4"/>
  <c r="I8" i="4"/>
  <c r="B8" i="4" a="1"/>
  <c r="B8" i="4" s="1"/>
  <c r="J7" i="4"/>
  <c r="I7" i="4"/>
  <c r="B7" i="4" a="1"/>
  <c r="B7" i="4" s="1"/>
  <c r="B6" i="4" a="1"/>
  <c r="B6" i="4" s="1"/>
  <c r="I6" i="4"/>
  <c r="J6" i="4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/>
  <c r="B85" i="3" a="1"/>
  <c r="B85" i="3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 s="1"/>
  <c r="B142" i="3" a="1"/>
  <c r="B142" i="3"/>
  <c r="B143" i="3" a="1"/>
  <c r="B143" i="3" s="1"/>
  <c r="B144" i="3" a="1"/>
  <c r="B144" i="3"/>
  <c r="B145" i="3" a="1"/>
  <c r="B145" i="3" s="1"/>
  <c r="B146" i="3" a="1"/>
  <c r="B146" i="3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 s="1"/>
  <c r="B170" i="3" a="1"/>
  <c r="B170" i="3"/>
  <c r="B171" i="3" a="1"/>
  <c r="B171" i="3" s="1"/>
  <c r="B172" i="3" a="1"/>
  <c r="B172" i="3" s="1"/>
  <c r="B173" i="3" a="1"/>
  <c r="B173" i="3" s="1"/>
  <c r="B174" i="3" a="1"/>
  <c r="B174" i="3" s="1"/>
  <c r="B175" i="3" a="1"/>
  <c r="B175" i="3" s="1"/>
  <c r="B176" i="3" a="1"/>
  <c r="B176" i="3" s="1"/>
  <c r="B177" i="3" a="1"/>
  <c r="B177" i="3" s="1"/>
  <c r="B178" i="3" a="1"/>
  <c r="B178" i="3" s="1"/>
  <c r="B179" i="3" a="1"/>
  <c r="B179" i="3" s="1"/>
  <c r="B180" i="3" a="1"/>
  <c r="B180" i="3" s="1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202" i="3" a="1"/>
  <c r="B202" i="3" s="1"/>
  <c r="B203" i="3" a="1"/>
  <c r="B203" i="3" s="1"/>
  <c r="B204" i="3" a="1"/>
  <c r="B204" i="3" s="1"/>
  <c r="B205" i="3" a="1"/>
  <c r="B205" i="3" s="1"/>
  <c r="B206" i="3" a="1"/>
  <c r="B206" i="3" s="1"/>
  <c r="B207" i="3" a="1"/>
  <c r="B207" i="3" s="1"/>
  <c r="B208" i="3" a="1"/>
  <c r="B208" i="3" s="1"/>
  <c r="B209" i="3" a="1"/>
  <c r="B209" i="3" s="1"/>
  <c r="B210" i="3" a="1"/>
  <c r="B210" i="3" s="1"/>
  <c r="B211" i="3" a="1"/>
  <c r="B211" i="3" s="1"/>
  <c r="B212" i="3" a="1"/>
  <c r="B212" i="3" s="1"/>
  <c r="B213" i="3" a="1"/>
  <c r="B213" i="3" s="1"/>
  <c r="B214" i="3" a="1"/>
  <c r="B214" i="3"/>
  <c r="B215" i="3" a="1"/>
  <c r="B215" i="3" s="1"/>
  <c r="B216" i="3" a="1"/>
  <c r="B216" i="3" s="1"/>
  <c r="B217" i="3" a="1"/>
  <c r="B217" i="3" s="1"/>
  <c r="B218" i="3" a="1"/>
  <c r="B218" i="3"/>
  <c r="B219" i="3" a="1"/>
  <c r="B219" i="3" s="1"/>
  <c r="B220" i="3" a="1"/>
  <c r="B220" i="3" s="1"/>
  <c r="B221" i="3" a="1"/>
  <c r="B221" i="3" s="1"/>
  <c r="B222" i="3" a="1"/>
  <c r="B222" i="3" s="1"/>
  <c r="B223" i="3" a="1"/>
  <c r="B223" i="3" s="1"/>
  <c r="B224" i="3" a="1"/>
  <c r="B224" i="3" s="1"/>
  <c r="B225" i="3" a="1"/>
  <c r="B225" i="3" s="1"/>
  <c r="B226" i="3" a="1"/>
  <c r="B226" i="3" s="1"/>
  <c r="B227" i="3" a="1"/>
  <c r="B227" i="3"/>
  <c r="B228" i="3" a="1"/>
  <c r="B228" i="3" s="1"/>
  <c r="B229" i="3" a="1"/>
  <c r="B229" i="3"/>
  <c r="B230" i="3" a="1"/>
  <c r="B230" i="3" s="1"/>
  <c r="J5" i="4"/>
  <c r="I5" i="4"/>
  <c r="B5" i="4" a="1"/>
  <c r="B5" i="4" s="1"/>
  <c r="J4" i="4"/>
  <c r="I4" i="4"/>
  <c r="B4" i="4" a="1"/>
  <c r="B4" i="4" s="1"/>
  <c r="J3" i="4"/>
  <c r="I3" i="4"/>
  <c r="B3" i="4" a="1"/>
  <c r="B3" i="4" s="1"/>
  <c r="M59" i="3"/>
  <c r="L59" i="3"/>
  <c r="B59" i="3" a="1"/>
  <c r="B59" i="3" s="1"/>
  <c r="M58" i="3"/>
  <c r="L58" i="3"/>
  <c r="B58" i="3" a="1"/>
  <c r="B58" i="3" s="1"/>
  <c r="M57" i="3"/>
  <c r="L57" i="3"/>
  <c r="B57" i="3" a="1"/>
  <c r="B57" i="3" s="1"/>
  <c r="M56" i="3"/>
  <c r="L56" i="3"/>
  <c r="B56" i="3" a="1"/>
  <c r="B56" i="3" s="1"/>
  <c r="M55" i="3"/>
  <c r="L55" i="3"/>
  <c r="B55" i="3" a="1"/>
  <c r="B55" i="3" s="1"/>
  <c r="M54" i="3"/>
  <c r="L54" i="3"/>
  <c r="B54" i="3" a="1"/>
  <c r="B54" i="3" s="1"/>
  <c r="M53" i="3"/>
  <c r="L53" i="3"/>
  <c r="B53" i="3" a="1"/>
  <c r="B53" i="3" s="1"/>
  <c r="M52" i="3"/>
  <c r="L52" i="3"/>
  <c r="B52" i="3" a="1"/>
  <c r="B52" i="3" s="1"/>
  <c r="M51" i="3"/>
  <c r="L51" i="3"/>
  <c r="B51" i="3" a="1"/>
  <c r="B51" i="3" s="1"/>
  <c r="M50" i="3"/>
  <c r="L50" i="3"/>
  <c r="B50" i="3" a="1"/>
  <c r="B50" i="3" s="1"/>
  <c r="M49" i="3"/>
  <c r="L49" i="3"/>
  <c r="B49" i="3" a="1"/>
  <c r="B49" i="3" s="1"/>
  <c r="M48" i="3"/>
  <c r="L48" i="3"/>
  <c r="B48" i="3" a="1"/>
  <c r="B48" i="3" s="1"/>
  <c r="M47" i="3"/>
  <c r="L47" i="3"/>
  <c r="B47" i="3" a="1"/>
  <c r="B47" i="3" s="1"/>
  <c r="M46" i="3"/>
  <c r="L46" i="3"/>
  <c r="B46" i="3" a="1"/>
  <c r="B46" i="3" s="1"/>
  <c r="M45" i="3"/>
  <c r="L45" i="3"/>
  <c r="B45" i="3" a="1"/>
  <c r="B45" i="3" s="1"/>
  <c r="M44" i="3"/>
  <c r="L44" i="3"/>
  <c r="B44" i="3" a="1"/>
  <c r="B44" i="3" s="1"/>
  <c r="M43" i="3"/>
  <c r="L43" i="3"/>
  <c r="B43" i="3" a="1"/>
  <c r="B43" i="3" s="1"/>
  <c r="M42" i="3"/>
  <c r="L42" i="3"/>
  <c r="B42" i="3" a="1"/>
  <c r="B42" i="3" s="1"/>
  <c r="K41" i="3"/>
  <c r="M41" i="3" s="1"/>
  <c r="B41" i="3" a="1"/>
  <c r="B41" i="3" s="1"/>
  <c r="M40" i="3"/>
  <c r="L40" i="3"/>
  <c r="B40" i="3" a="1"/>
  <c r="B40" i="3" s="1"/>
  <c r="M39" i="3"/>
  <c r="L39" i="3"/>
  <c r="B39" i="3" a="1"/>
  <c r="B39" i="3" s="1"/>
  <c r="M38" i="3"/>
  <c r="L38" i="3"/>
  <c r="B38" i="3" a="1"/>
  <c r="B38" i="3" s="1"/>
  <c r="M37" i="3"/>
  <c r="L37" i="3"/>
  <c r="B37" i="3" a="1"/>
  <c r="B37" i="3" s="1"/>
  <c r="M36" i="3"/>
  <c r="L36" i="3"/>
  <c r="B36" i="3" a="1"/>
  <c r="B36" i="3" s="1"/>
  <c r="M35" i="3"/>
  <c r="L35" i="3"/>
  <c r="B35" i="3" a="1"/>
  <c r="B35" i="3" s="1"/>
  <c r="M34" i="3"/>
  <c r="L34" i="3"/>
  <c r="B34" i="3" a="1"/>
  <c r="B34" i="3" s="1"/>
  <c r="M33" i="3"/>
  <c r="L33" i="3"/>
  <c r="B33" i="3" a="1"/>
  <c r="B33" i="3" s="1"/>
  <c r="M32" i="3"/>
  <c r="L32" i="3"/>
  <c r="B32" i="3" a="1"/>
  <c r="B32" i="3" s="1"/>
  <c r="M31" i="3"/>
  <c r="L31" i="3"/>
  <c r="B31" i="3" a="1"/>
  <c r="B31" i="3" s="1"/>
  <c r="M30" i="3"/>
  <c r="L30" i="3"/>
  <c r="B30" i="3" a="1"/>
  <c r="B30" i="3" s="1"/>
  <c r="M29" i="3"/>
  <c r="L29" i="3"/>
  <c r="B29" i="3" a="1"/>
  <c r="B29" i="3" s="1"/>
  <c r="M28" i="3"/>
  <c r="L28" i="3"/>
  <c r="B28" i="3" a="1"/>
  <c r="B28" i="3" s="1"/>
  <c r="M27" i="3"/>
  <c r="L27" i="3"/>
  <c r="B27" i="3" a="1"/>
  <c r="B27" i="3" s="1"/>
  <c r="M26" i="3"/>
  <c r="L26" i="3"/>
  <c r="B26" i="3" a="1"/>
  <c r="B26" i="3" s="1"/>
  <c r="M25" i="3"/>
  <c r="L25" i="3"/>
  <c r="B25" i="3" a="1"/>
  <c r="B25" i="3" s="1"/>
  <c r="M24" i="3"/>
  <c r="L24" i="3"/>
  <c r="B24" i="3" a="1"/>
  <c r="B24" i="3" s="1"/>
  <c r="M23" i="3"/>
  <c r="L23" i="3"/>
  <c r="B23" i="3" a="1"/>
  <c r="B23" i="3" s="1"/>
  <c r="M22" i="3"/>
  <c r="L22" i="3"/>
  <c r="B22" i="3" a="1"/>
  <c r="B22" i="3" s="1"/>
  <c r="M21" i="3"/>
  <c r="L21" i="3"/>
  <c r="B21" i="3" a="1"/>
  <c r="B21" i="3" s="1"/>
  <c r="M20" i="3"/>
  <c r="L20" i="3"/>
  <c r="B20" i="3" a="1"/>
  <c r="B20" i="3" s="1"/>
  <c r="M19" i="3"/>
  <c r="L19" i="3"/>
  <c r="B19" i="3" a="1"/>
  <c r="B19" i="3" s="1"/>
  <c r="M18" i="3"/>
  <c r="L18" i="3"/>
  <c r="B18" i="3" a="1"/>
  <c r="B18" i="3" s="1"/>
  <c r="M17" i="3"/>
  <c r="L17" i="3"/>
  <c r="B17" i="3" a="1"/>
  <c r="B17" i="3" s="1"/>
  <c r="M16" i="3"/>
  <c r="L16" i="3"/>
  <c r="B16" i="3" a="1"/>
  <c r="B16" i="3" s="1"/>
  <c r="M15" i="3"/>
  <c r="L15" i="3"/>
  <c r="B15" i="3" a="1"/>
  <c r="B15" i="3" s="1"/>
  <c r="M14" i="3"/>
  <c r="L14" i="3"/>
  <c r="B14" i="3" a="1"/>
  <c r="B14" i="3" s="1"/>
  <c r="M13" i="3"/>
  <c r="L13" i="3"/>
  <c r="B13" i="3" a="1"/>
  <c r="B13" i="3" s="1"/>
  <c r="M12" i="3"/>
  <c r="L12" i="3"/>
  <c r="B12" i="3" a="1"/>
  <c r="B12" i="3" s="1"/>
  <c r="M11" i="3"/>
  <c r="L11" i="3"/>
  <c r="B11" i="3" a="1"/>
  <c r="B11" i="3" s="1"/>
  <c r="M10" i="3"/>
  <c r="L10" i="3"/>
  <c r="B10" i="3" a="1"/>
  <c r="B10" i="3" s="1"/>
  <c r="M9" i="3"/>
  <c r="L9" i="3"/>
  <c r="B9" i="3" a="1"/>
  <c r="B9" i="3" s="1"/>
  <c r="M8" i="3"/>
  <c r="L8" i="3"/>
  <c r="B8" i="3" a="1"/>
  <c r="B8" i="3" s="1"/>
  <c r="M7" i="3"/>
  <c r="L7" i="3"/>
  <c r="B7" i="3" a="1"/>
  <c r="B7" i="3" s="1"/>
  <c r="M6" i="3"/>
  <c r="L6" i="3"/>
  <c r="B6" i="3" a="1"/>
  <c r="B6" i="3" s="1"/>
  <c r="M5" i="3"/>
  <c r="L5" i="3"/>
  <c r="B5" i="3" a="1"/>
  <c r="B5" i="3" s="1"/>
  <c r="M4" i="3"/>
  <c r="L4" i="3"/>
  <c r="B4" i="3" a="1"/>
  <c r="B4" i="3" s="1"/>
  <c r="M3" i="3"/>
  <c r="L3" i="3"/>
  <c r="B3" i="3" a="1"/>
  <c r="B3" i="3" s="1"/>
  <c r="L4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<sst xmlns="http://schemas.openxmlformats.org/spreadsheetml/2006/main" count="1684" uniqueCount="245">
  <si>
    <t>ID</t>
  </si>
  <si>
    <t>Trip</t>
  </si>
  <si>
    <t>Trip ID</t>
  </si>
  <si>
    <t>Traveler</t>
  </si>
  <si>
    <t>Destination</t>
  </si>
  <si>
    <t>Start Date</t>
  </si>
  <si>
    <t>P000</t>
  </si>
  <si>
    <t>End Date</t>
  </si>
  <si>
    <t>T001</t>
  </si>
  <si>
    <t>Todos</t>
  </si>
  <si>
    <t>SPS Sep 2026</t>
  </si>
  <si>
    <t>P001</t>
  </si>
  <si>
    <t>San Pedro Sula</t>
  </si>
  <si>
    <t>Ken</t>
  </si>
  <si>
    <t>P002</t>
  </si>
  <si>
    <t>Reason</t>
  </si>
  <si>
    <t>Jimmy</t>
  </si>
  <si>
    <t>P003</t>
  </si>
  <si>
    <t>Megan</t>
  </si>
  <si>
    <t>Date</t>
  </si>
  <si>
    <t>P004</t>
  </si>
  <si>
    <t>Kevin</t>
  </si>
  <si>
    <t>P005</t>
  </si>
  <si>
    <t>Type</t>
  </si>
  <si>
    <t>Dayana</t>
  </si>
  <si>
    <t>Product</t>
  </si>
  <si>
    <t>Debtor</t>
  </si>
  <si>
    <t>Lander</t>
  </si>
  <si>
    <t>Currency</t>
  </si>
  <si>
    <t>Rate</t>
  </si>
  <si>
    <t>Monto</t>
  </si>
  <si>
    <t>Monto LPS</t>
  </si>
  <si>
    <t>Monto USD</t>
  </si>
  <si>
    <t>Airbnb</t>
  </si>
  <si>
    <t>Amenidades</t>
  </si>
  <si>
    <t>$</t>
  </si>
  <si>
    <t>Wendys</t>
  </si>
  <si>
    <t>Restaurantes</t>
  </si>
  <si>
    <t>BAC MUSH M</t>
  </si>
  <si>
    <t>L</t>
  </si>
  <si>
    <t>DAVE C</t>
  </si>
  <si>
    <t>AGRANDADO</t>
  </si>
  <si>
    <t>#8 10 NUGG</t>
  </si>
  <si>
    <t>WRAPS POLL</t>
  </si>
  <si>
    <t>QUESIHAMBU</t>
  </si>
  <si>
    <t>Pedidos Ya</t>
  </si>
  <si>
    <t>Compras Super</t>
  </si>
  <si>
    <t>Agua y Fresco</t>
  </si>
  <si>
    <t>Expresso Americano</t>
  </si>
  <si>
    <t>Caffe Latte 12 Oz</t>
  </si>
  <si>
    <t>Caffe Latte 16 Oz</t>
  </si>
  <si>
    <t>Americano Frio de 12 Oz</t>
  </si>
  <si>
    <t>English Muffin Salchicha y Huevo</t>
  </si>
  <si>
    <t>Refresher Fresa Con Limon 16 Oz</t>
  </si>
  <si>
    <t>Brisa Marina</t>
  </si>
  <si>
    <t>Filete de pez</t>
  </si>
  <si>
    <t>Coca Zero</t>
  </si>
  <si>
    <t>Hamburguesa</t>
  </si>
  <si>
    <t>Pollo</t>
  </si>
  <si>
    <t>Coca Normal</t>
  </si>
  <si>
    <t>Camarón</t>
  </si>
  <si>
    <t>Michelada</t>
  </si>
  <si>
    <t>Agua</t>
  </si>
  <si>
    <t>Propina</t>
  </si>
  <si>
    <t>Playa</t>
  </si>
  <si>
    <t>Entretenimiento</t>
  </si>
  <si>
    <t>Entrada Playa</t>
  </si>
  <si>
    <t>Cover</t>
  </si>
  <si>
    <t>JB+1D</t>
  </si>
  <si>
    <t>CityPark</t>
  </si>
  <si>
    <t>NACHOS</t>
  </si>
  <si>
    <t>SALVA VIDA 1</t>
  </si>
  <si>
    <t>SALVA VIDA 2</t>
  </si>
  <si>
    <t>BOTE CON AGUA 1</t>
  </si>
  <si>
    <t>BOTE CON AGUA 2</t>
  </si>
  <si>
    <t>MARGARITA LIMON</t>
  </si>
  <si>
    <t>PIÑA COLADA</t>
  </si>
  <si>
    <t>LONG ISLAND 1</t>
  </si>
  <si>
    <t>LONG ISLAND 2</t>
  </si>
  <si>
    <t>PROPINA</t>
  </si>
  <si>
    <t>Uber CityPark</t>
  </si>
  <si>
    <t>Transporte</t>
  </si>
  <si>
    <t>Uber</t>
  </si>
  <si>
    <t>iHop</t>
  </si>
  <si>
    <t>Breakfast Sampler</t>
  </si>
  <si>
    <t>Strawberry Lemonade Splash</t>
  </si>
  <si>
    <t>Te Helado</t>
  </si>
  <si>
    <t>Burrito de 3 Carnes</t>
  </si>
  <si>
    <t>Burrito Con Chorizo</t>
  </si>
  <si>
    <t>Horchata Mucho</t>
  </si>
  <si>
    <t>New York Cheesecake Pancake</t>
  </si>
  <si>
    <t>Never Empty Coffee</t>
  </si>
  <si>
    <t>Philly Cheese Steak Stacker</t>
  </si>
  <si>
    <t>Cafe Latte</t>
  </si>
  <si>
    <t>Leche Deslactosada</t>
  </si>
  <si>
    <t xml:space="preserve">Starbucks </t>
  </si>
  <si>
    <t>Iced Caramel Macchiato</t>
  </si>
  <si>
    <t>Strawberry Cream Frappuccino</t>
  </si>
  <si>
    <t>Mango Dragon Lemon</t>
  </si>
  <si>
    <t>Iced Chai Latte XL</t>
  </si>
  <si>
    <t>KatraChamoy</t>
  </si>
  <si>
    <t>Pollo Chuco</t>
  </si>
  <si>
    <t>Gasolina</t>
  </si>
  <si>
    <t>Gasolina Ida</t>
  </si>
  <si>
    <t>Gasolina Vuelta</t>
  </si>
  <si>
    <t>T002</t>
  </si>
  <si>
    <t>ESV Shakira 2026</t>
  </si>
  <si>
    <t>San Salvador</t>
  </si>
  <si>
    <t>Combustible</t>
  </si>
  <si>
    <t>Pollo Campestre</t>
  </si>
  <si>
    <t>New Fashion</t>
  </si>
  <si>
    <t>Super Selectos</t>
  </si>
  <si>
    <t>Maktub</t>
  </si>
  <si>
    <t>Olive Garden</t>
  </si>
  <si>
    <t>Bershka</t>
  </si>
  <si>
    <t>Megapaca</t>
  </si>
  <si>
    <t>La Nevería</t>
  </si>
  <si>
    <t>El Tunco</t>
  </si>
  <si>
    <t>Starbucks</t>
  </si>
  <si>
    <t>Galaxy Bowling</t>
  </si>
  <si>
    <t>El Boqueron</t>
  </si>
  <si>
    <t>McDonalds</t>
  </si>
  <si>
    <t>Concierto Shakira</t>
  </si>
  <si>
    <t>Boleto Concierto</t>
  </si>
  <si>
    <t>Souvenires</t>
  </si>
  <si>
    <t>Ropa</t>
  </si>
  <si>
    <t>Menu Campestre</t>
  </si>
  <si>
    <t>Vaso Campestre Frutas</t>
  </si>
  <si>
    <t>Super Campestre</t>
  </si>
  <si>
    <t>Orden de Chili</t>
  </si>
  <si>
    <t>Aderezos</t>
  </si>
  <si>
    <t>Sandwich Ciabatta</t>
  </si>
  <si>
    <t>Papas Ga</t>
  </si>
  <si>
    <t>Lapiz Italia Expresso</t>
  </si>
  <si>
    <t>Lapiz Italia Cabaret</t>
  </si>
  <si>
    <t>McCormick Manzana</t>
  </si>
  <si>
    <t>2 Gaseosas UVA Lata 35</t>
  </si>
  <si>
    <t>Agua La Fuente 378g</t>
  </si>
  <si>
    <t>Aceite de Oliva Extra</t>
  </si>
  <si>
    <t>Jugo Sula Naranja</t>
  </si>
  <si>
    <t>Mostaza Hellmann’s 20</t>
  </si>
  <si>
    <t>Plato Terno FDM Bio</t>
  </si>
  <si>
    <t>6 Pack Cerveza Pilsener</t>
  </si>
  <si>
    <t>Jabón Dove Original</t>
  </si>
  <si>
    <t>2 Pack Frijol Borr. C</t>
  </si>
  <si>
    <t>Vaso Biodegradable</t>
  </si>
  <si>
    <t>Huevo La Catalana Med</t>
  </si>
  <si>
    <t>Lechuga Repollada (lb)</t>
  </si>
  <si>
    <t>Banano (1.03 kg)</t>
  </si>
  <si>
    <t>Tomate de Cocina (lb)</t>
  </si>
  <si>
    <t>Crema Dental Colgate</t>
  </si>
  <si>
    <t>Manzana Mixta #150</t>
  </si>
  <si>
    <t>Gaseosa Coca Cola 1L</t>
  </si>
  <si>
    <t>Yogurt Griego Yes Na</t>
  </si>
  <si>
    <t>Sorelli Vinagre Puro</t>
  </si>
  <si>
    <t>Jamón de Pavo Kreef</t>
  </si>
  <si>
    <t>Leche LTO Delactomy</t>
  </si>
  <si>
    <t>Toalla Húmeda Saba</t>
  </si>
  <si>
    <t>Gaseosa Coca Cola SF</t>
  </si>
  <si>
    <t>Jabón de Tocador DK</t>
  </si>
  <si>
    <t>Yog Dos Pinos Griego</t>
  </si>
  <si>
    <t>Bloqueador Solar SPF</t>
  </si>
  <si>
    <t>Sandwich Slices Amer</t>
  </si>
  <si>
    <t>Mayonesa Hellmann’s</t>
  </si>
  <si>
    <t>Bebida Hidratante Suer</t>
  </si>
  <si>
    <t>Pan Bimbo Blanco Cero</t>
  </si>
  <si>
    <t>Descuentos</t>
  </si>
  <si>
    <t>Pupusa Revuelta Maíz</t>
  </si>
  <si>
    <t>Pupusa Tocino Maíz</t>
  </si>
  <si>
    <t>Pupusa Chorizo Argentino y Queso</t>
  </si>
  <si>
    <t>Pepsi Zero</t>
  </si>
  <si>
    <t>Pupusa Jalapeño y Queso Maíz</t>
  </si>
  <si>
    <t>Pupusa Revuelta Especial Maíz</t>
  </si>
  <si>
    <t>Horchata</t>
  </si>
  <si>
    <t>Pupusa con Carne Asada Maíz</t>
  </si>
  <si>
    <t>Pupusa Pollo y Queso Maíz</t>
  </si>
  <si>
    <t>Pepsi</t>
  </si>
  <si>
    <t>Pupusa Birria Maíz</t>
  </si>
  <si>
    <t>Pupusa Margarita Maíz</t>
  </si>
  <si>
    <t>Pupusa Queso y Cilantro Maíz</t>
  </si>
  <si>
    <t>Servicio</t>
  </si>
  <si>
    <t>Chicken Alfredo</t>
  </si>
  <si>
    <t>Sirloin with Fettuccine Alfredo</t>
  </si>
  <si>
    <t>Shrimp Alfredo</t>
  </si>
  <si>
    <t>Tour of Italy</t>
  </si>
  <si>
    <t>Chicken Parmigiana</t>
  </si>
  <si>
    <t>Soda</t>
  </si>
  <si>
    <t>Mocktail Strawberry Mojito</t>
  </si>
  <si>
    <t>Limonada con Soda</t>
  </si>
  <si>
    <t>Café Toscano</t>
  </si>
  <si>
    <t>Gorra</t>
  </si>
  <si>
    <t>Short</t>
  </si>
  <si>
    <t>Cinchos</t>
  </si>
  <si>
    <t>Pañuelos</t>
  </si>
  <si>
    <t>Zapatos</t>
  </si>
  <si>
    <t>Sandalias</t>
  </si>
  <si>
    <t>Cafe Mocca</t>
  </si>
  <si>
    <t>Smoothie de Yogurt</t>
  </si>
  <si>
    <t>Tortilla Jalapeña DI</t>
  </si>
  <si>
    <t>Agua Cristal 1L PET</t>
  </si>
  <si>
    <t>Caramelo Halls Yerba</t>
  </si>
  <si>
    <t>Galleta Florentinas</t>
  </si>
  <si>
    <t>Bebida Supl. Alimenticia</t>
  </si>
  <si>
    <t>Off</t>
  </si>
  <si>
    <t>Baños</t>
  </si>
  <si>
    <t>Pupusa</t>
  </si>
  <si>
    <t>Fresco</t>
  </si>
  <si>
    <t>Jamaica</t>
  </si>
  <si>
    <t>Cover Kakos</t>
  </si>
  <si>
    <t>Cervezas</t>
  </si>
  <si>
    <t>Duchas</t>
  </si>
  <si>
    <t>Parqueo</t>
  </si>
  <si>
    <t>Hot Venti Green Tea Latte</t>
  </si>
  <si>
    <t>Hot Grande Green Tea Latte</t>
  </si>
  <si>
    <t>BunRoll Sausage &amp; Cheddar</t>
  </si>
  <si>
    <t>Turkey &amp; Swiss Ciabatta</t>
  </si>
  <si>
    <t>Chicken Chipotle Ciabatta</t>
  </si>
  <si>
    <t>Fresh Ground Strawberry Acai Lemonade</t>
  </si>
  <si>
    <t>Duo Lunch Espresso</t>
  </si>
  <si>
    <t>Iced Grande Café Latte</t>
  </si>
  <si>
    <t>Extra Jarabe Caramelo</t>
  </si>
  <si>
    <t>Alquiler de Zapatos</t>
  </si>
  <si>
    <t>Big Mess Nachos</t>
  </si>
  <si>
    <t>Pichel Fanta 1500 ml</t>
  </si>
  <si>
    <t>Pizza 16" Pepperoni</t>
  </si>
  <si>
    <t>Hora de Boliche</t>
  </si>
  <si>
    <t>Entrada</t>
  </si>
  <si>
    <t>Frozen</t>
  </si>
  <si>
    <t>McNuggets Mediano</t>
  </si>
  <si>
    <t>BigMac</t>
  </si>
  <si>
    <t>McSan McPollo Mediano</t>
  </si>
  <si>
    <t>Camisa</t>
  </si>
  <si>
    <t>Uber Ida</t>
  </si>
  <si>
    <t>Uber Regreso</t>
  </si>
  <si>
    <t>Iced Grande Caramel Macchiato</t>
  </si>
  <si>
    <t>Bun Roll Sausage &amp; Cheddar</t>
  </si>
  <si>
    <t>Hot Grande Café Latte</t>
  </si>
  <si>
    <t>Venti Hot Pistachio Latte</t>
  </si>
  <si>
    <t>Vanilla Cream Frappuccino</t>
  </si>
  <si>
    <t>Iced Alto Shaken Green Tea Lemonade</t>
  </si>
  <si>
    <t>Baguette Española</t>
  </si>
  <si>
    <t>Danish</t>
  </si>
  <si>
    <t>Bavarian Cake</t>
  </si>
  <si>
    <t>Entradas</t>
  </si>
  <si>
    <t>Gasolina Regreso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</si>
</sst>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42" formatCode="_(&quot;$&quot;* #,##0_);_(&quot;$&quot;* \(#,##0\);_(&quot;$&quot;* &quot;-&quot;_);_(@_)"/>
    <numFmt numFmtId="164" formatCode="yyyy\-mm\-dd"/>
    <numFmt numFmtId="165" formatCode="ddd&quot;, &quot;mmm&quot; &quot;d&quot;, &quot;yyyy"/>
    <numFmt numFmtId="166" formatCode="_(\L* #,##0.00_);_(\L* \(#,##0.00\);_(\L* &quot;-&quot;_);_(@_)"/>
    <numFmt numFmtId="167" formatCode="_(\$* #,##0.00_);_(\$* \(#,##0.00\);_(\$* &quot;-&quot;_);_(@_)"/>
  </numFmts>
  <fonts count="23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Roboto"/>
    </font>
    <font>
      <sz val="10"/>
      <color theme="1"/>
      <name val="Arial"/>
      <scheme val="minor"/>
    </font>
    <font>
      <sz val="10"/>
      <color rgb="FF434343"/>
      <name val="Roboto"/>
    </font>
    <font>
      <sz val="14"/>
      <color theme="1"/>
      <name val="Arial"/>
      <scheme val="minor"/>
    </font>
    <font>
      <sz val="10"/>
      <color rgb="FFB10202"/>
      <name val="Roboto"/>
    </font>
    <font>
      <sz val="10"/>
      <color rgb="FF2C481F"/>
      <name val="Roboto"/>
    </font>
    <font>
      <sz val="10"/>
      <color theme="1"/>
      <name val="Roboto"/>
    </font>
    <font>
      <sz val="10"/>
      <color rgb="FF5A3286"/>
      <name val="Roboto"/>
    </font>
    <font>
      <sz val="10"/>
      <color rgb="FF133819"/>
      <name val="Roboto"/>
    </font>
    <font>
      <sz val="10"/>
      <color rgb="FF215A6C"/>
      <name val="Roboto"/>
    </font>
    <font>
      <sz val="10"/>
      <color rgb="FF2A3243"/>
      <name val="Roboto"/>
    </font>
    <font>
      <sz val="10"/>
      <color rgb="FF0A53A8"/>
      <name val="Roboto"/>
    </font>
    <font>
      <sz val="10"/>
      <color rgb="FFBFE0F6"/>
      <name val="Roboto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11734B"/>
      <name val="Roboto"/>
    </font>
    <font>
      <sz val="10"/>
      <color rgb="FF473821"/>
      <name val="Roboto"/>
    </font>
    <font>
      <b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EEF7FF"/>
        <bgColor rgb="FFEEF7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EEF7FF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49" fontId="4" fillId="2" borderId="3" xfId="0" applyNumberFormat="1" applyFont="1" applyFill="1" applyBorder="1" applyAlignment="1">
      <alignment horizontal="left" vertical="center"/>
    </xf>
    <xf numFmtId="164" fontId="6" fillId="3" borderId="4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165" fontId="4" fillId="2" borderId="5" xfId="0" applyNumberFormat="1" applyFont="1" applyFill="1" applyBorder="1" applyAlignment="1">
      <alignment horizontal="right" vertical="center"/>
    </xf>
    <xf numFmtId="0" fontId="7" fillId="0" borderId="0" xfId="0" applyFont="1"/>
    <xf numFmtId="49" fontId="4" fillId="2" borderId="5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left" vertical="center"/>
    </xf>
    <xf numFmtId="42" fontId="4" fillId="2" borderId="6" xfId="0" applyNumberFormat="1" applyFont="1" applyFill="1" applyBorder="1" applyAlignment="1">
      <alignment horizontal="left" vertical="center"/>
    </xf>
    <xf numFmtId="0" fontId="6" fillId="4" borderId="4" xfId="0" applyFont="1" applyFill="1" applyBorder="1" applyAlignment="1">
      <alignment vertical="center"/>
    </xf>
    <xf numFmtId="165" fontId="6" fillId="3" borderId="4" xfId="0" applyNumberFormat="1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right" vertical="center"/>
    </xf>
    <xf numFmtId="4" fontId="6" fillId="4" borderId="4" xfId="0" applyNumberFormat="1" applyFont="1" applyFill="1" applyBorder="1" applyAlignment="1">
      <alignment horizontal="right" vertical="center"/>
    </xf>
    <xf numFmtId="167" fontId="6" fillId="4" borderId="4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4" fontId="6" fillId="5" borderId="4" xfId="0" applyNumberFormat="1" applyFont="1" applyFill="1" applyBorder="1" applyAlignment="1">
      <alignment horizontal="right" vertical="center"/>
    </xf>
    <xf numFmtId="166" fontId="6" fillId="5" borderId="4" xfId="0" applyNumberFormat="1" applyFont="1" applyFill="1" applyBorder="1" applyAlignment="1">
      <alignment horizontal="right" vertical="center"/>
    </xf>
    <xf numFmtId="167" fontId="6" fillId="5" borderId="4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vertical="center"/>
    </xf>
    <xf numFmtId="0" fontId="13" fillId="4" borderId="4" xfId="0" applyFont="1" applyFill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2" fillId="4" borderId="4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13" fillId="5" borderId="4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16" fillId="4" borderId="4" xfId="0" applyFont="1" applyFill="1" applyBorder="1" applyAlignment="1">
      <alignment vertical="center"/>
    </xf>
    <xf numFmtId="0" fontId="16" fillId="5" borderId="4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0" fontId="17" fillId="0" borderId="0" xfId="0" applyFont="1"/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14" fontId="6" fillId="8" borderId="0" xfId="0" applyNumberFormat="1" applyFont="1" applyFill="1" applyAlignment="1">
      <alignment horizontal="right" vertical="center" wrapText="1"/>
    </xf>
    <xf numFmtId="14" fontId="6" fillId="7" borderId="0" xfId="0" applyNumberFormat="1" applyFont="1" applyFill="1" applyAlignment="1">
      <alignment horizontal="right" vertical="center" wrapText="1"/>
    </xf>
    <xf numFmtId="14" fontId="6" fillId="6" borderId="0" xfId="0" applyNumberFormat="1" applyFont="1" applyFill="1" applyAlignment="1">
      <alignment horizontal="right" vertical="center" wrapText="1"/>
    </xf>
    <xf numFmtId="0" fontId="20" fillId="6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21" fillId="7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5" fillId="7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8" fontId="22" fillId="0" borderId="0" xfId="0" applyNumberFormat="1" applyFont="1"/>
    <xf numFmtId="0" fontId="6" fillId="6" borderId="0" xfId="0" applyFont="1" applyFill="1" applyAlignment="1">
      <alignment horizontal="right" vertical="center" wrapText="1"/>
    </xf>
    <xf numFmtId="0" fontId="6" fillId="7" borderId="0" xfId="0" applyFont="1" applyFill="1" applyAlignment="1">
      <alignment horizontal="right" vertical="center" wrapText="1"/>
    </xf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vertical="center"/>
    </xf>
    <xf numFmtId="4" fontId="17" fillId="0" borderId="0" xfId="0" applyNumberFormat="1" applyFont="1"/>
  </cellXfs>
  <cellStyles count="1">
    <cellStyle name="Normal" xfId="0" builtinId="0"/>
  </cellStyles>
  <dxfs count="13">
    <dxf>
      <numFmt numFmtId="19" formatCode="yyyy/mm/dd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Travelers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Trips-style" pivot="0" count="4" xr9:uid="{00000000-0011-0000-FFFF-FFFF01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Expenses-style" pivot="0" count="4" xr9:uid="{00000000-0011-0000-FFFF-FFFF02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ips" displayName="Trips" ref="A2:E4">
  <tableColumns count="5">
    <tableColumn id="1" xr3:uid="{00000000-0010-0000-0000-000001000000}" name="ID"/>
    <tableColumn id="2" xr3:uid="{00000000-0010-0000-0000-000002000000}" name="Trip"/>
    <tableColumn id="3" xr3:uid="{00000000-0010-0000-0000-000003000000}" name="Destination"/>
    <tableColumn id="4" xr3:uid="{00000000-0010-0000-0000-000004000000}" name="Start Date"/>
    <tableColumn id="5" xr3:uid="{00000000-0010-0000-0000-000005000000}" name="End Date"/>
  </tableColumns>
  <tableStyleInfo name="Trip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ravelers" displayName="Travelers" ref="A2:B8">
  <tableColumns count="2">
    <tableColumn id="1" xr3:uid="{00000000-0010-0000-0100-000001000000}" name="ID"/>
    <tableColumn id="2" xr3:uid="{00000000-0010-0000-0100-000002000000}" name="Traveler"/>
  </tableColumns>
  <tableStyleInfo name="Traveler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es" displayName="Expenses" ref="A2:M230">
  <tableColumns count="13">
    <tableColumn id="1" xr3:uid="{00000000-0010-0000-0200-000001000000}" name="Trip ID"/>
    <tableColumn id="2" xr3:uid="{00000000-0010-0000-0200-000002000000}" name="Trip"/>
    <tableColumn id="3" xr3:uid="{00000000-0010-0000-0200-000003000000}" name="Reason"/>
    <tableColumn id="4" xr3:uid="{00000000-0010-0000-0200-000004000000}" name="Date"/>
    <tableColumn id="5" xr3:uid="{00000000-0010-0000-0200-000005000000}" name="Type"/>
    <tableColumn id="6" xr3:uid="{00000000-0010-0000-0200-000006000000}" name="Product"/>
    <tableColumn id="7" xr3:uid="{00000000-0010-0000-0200-000007000000}" name="Debtor"/>
    <tableColumn id="8" xr3:uid="{00000000-0010-0000-0200-000008000000}" name="Lander"/>
    <tableColumn id="9" xr3:uid="{00000000-0010-0000-0200-000009000000}" name="Currency"/>
    <tableColumn id="10" xr3:uid="{00000000-0010-0000-0200-00000A000000}" name="Rate"/>
    <tableColumn id="11" xr3:uid="{00000000-0010-0000-0200-00000B000000}" name="Monto"/>
    <tableColumn id="12" xr3:uid="{00000000-0010-0000-0200-00000C000000}" name="Monto LPS"/>
    <tableColumn id="13" xr3:uid="{00000000-0010-0000-0200-00000D000000}" name="Monto USD"/>
  </tableColumns>
  <tableStyleInfo name="Expens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69F875-F881-412A-B2B6-AFDC791A22F9}" name="Payments" displayName="Payments" ref="A2:J12">
  <tableColumns count="10">
    <tableColumn id="1" xr3:uid="{FF8AF294-FD05-4FA4-9439-D57A89941448}" name="Trip ID"/>
    <tableColumn id="2" xr3:uid="{3B27387D-B51E-465F-9C88-BF7060CD3DC4}" name="Trip">
      <calculatedColumnFormula array="1">_xlfn.XLOOKUP(A3,Trips[ID],Trips[Trip],"",0)</calculatedColumnFormula>
    </tableColumn>
    <tableColumn id="7" xr3:uid="{B227261E-98BA-431A-BD80-FD6EB887BD02}" name="Debtor"/>
    <tableColumn id="8" xr3:uid="{74FC2A88-96D4-42B9-9265-16F36ECEF279}" name="Lander"/>
    <tableColumn id="9" xr3:uid="{AFE59D18-98B8-4E6B-A4B9-6D086C65D3F2}" name="Currency"/>
    <tableColumn id="10" xr3:uid="{83880901-9A1D-47A8-BF8D-F09ED349D6F8}" name="Rate"/>
    <tableColumn id="3" xr3:uid="{BDC30303-1D15-4060-8B61-47283571A016}" name="Date" dataDxfId="0"/>
    <tableColumn id="11" xr3:uid="{3B563FC3-F970-4CB6-A71F-4C12FE1050D9}" name="Monto"/>
    <tableColumn id="12" xr3:uid="{B0B4D565-56DA-4703-B6A0-3BDDD1DEE1A9}" name="Monto LPS">
      <calculatedColumnFormula>IF(E3="$", F3, 1) * H3</calculatedColumnFormula>
    </tableColumn>
    <tableColumn id="13" xr3:uid="{66212077-454E-4ADF-A67F-4DF61BBAE302}" name="Monto USD">
      <calculatedColumnFormula>H3 / IF(E3="$", 1, F3)</calculatedColumnFormula>
    </tableColumn>
  </tableColumns>
  <tableStyleInfo name="Expen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showGridLines="0" tabSelected="1" workbookViewId="0">
      <selection activeCell="K7" sqref="K7"/>
    </sheetView>
  </sheetViews>
  <sheetFormatPr defaultColWidth="12.59765625" defaultRowHeight="15.75" customHeight="1" x14ac:dyDescent="0.35"/>
  <cols>
    <col min="2" max="2" width="15.53125" bestFit="1" customWidth="1"/>
    <col min="3" max="3" width="14" customWidth="1"/>
    <col min="4" max="4" width="16.265625" customWidth="1"/>
    <col min="5" max="5" width="15.3984375" customWidth="1"/>
  </cols>
  <sheetData>
    <row r="1" spans="1:26" ht="16.899999999999999" x14ac:dyDescent="0.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35">
      <c r="A2" s="4" t="s">
        <v>0</v>
      </c>
      <c r="B2" s="4" t="s">
        <v>1</v>
      </c>
      <c r="C2" s="4" t="s">
        <v>4</v>
      </c>
      <c r="D2" s="4" t="s">
        <v>5</v>
      </c>
      <c r="E2" s="4" t="s">
        <v>7</v>
      </c>
    </row>
    <row r="3" spans="1:26" ht="22.5" customHeight="1" x14ac:dyDescent="0.35">
      <c r="A3" s="74" t="s">
        <v>105</v>
      </c>
      <c r="B3" s="6" t="s">
        <v>10</v>
      </c>
      <c r="C3" s="6" t="s">
        <v>12</v>
      </c>
      <c r="D3" s="8">
        <v>46269</v>
      </c>
      <c r="E3" s="8">
        <v>46271</v>
      </c>
    </row>
    <row r="4" spans="1:26" ht="15.75" customHeight="1" x14ac:dyDescent="0.35">
      <c r="A4" s="46" t="s">
        <v>8</v>
      </c>
      <c r="B4" t="s">
        <v>106</v>
      </c>
      <c r="C4" t="s">
        <v>107</v>
      </c>
      <c r="D4" s="45">
        <v>46059</v>
      </c>
      <c r="E4" s="45">
        <v>46062</v>
      </c>
    </row>
    <row r="12" spans="1:26" ht="17.25" x14ac:dyDescent="0.45">
      <c r="D12" s="11"/>
    </row>
  </sheetData>
  <dataValidations count="1">
    <dataValidation type="custom" allowBlank="1" showDropDown="1" sqref="D3:E4" xr:uid="{00000000-0002-0000-0000-000000000000}">
      <formula1>OR(NOT(ISERROR(DATEVALUE(D3))), AND(ISNUMBER(D3), LEFT(CELL("format", D3))="D"))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8"/>
  <sheetViews>
    <sheetView showGridLines="0" workbookViewId="0"/>
  </sheetViews>
  <sheetFormatPr defaultColWidth="12.59765625" defaultRowHeight="15.75" customHeight="1" x14ac:dyDescent="0.35"/>
  <sheetData>
    <row r="1" spans="1:23" ht="16.899999999999999" x14ac:dyDescent="0.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2.5" customHeight="1" x14ac:dyDescent="0.35">
      <c r="A2" s="4" t="s">
        <v>0</v>
      </c>
      <c r="B2" s="4" t="s">
        <v>3</v>
      </c>
    </row>
    <row r="3" spans="1:23" ht="22.5" customHeight="1" x14ac:dyDescent="0.35">
      <c r="A3" s="6" t="s">
        <v>6</v>
      </c>
      <c r="B3" s="6" t="s">
        <v>9</v>
      </c>
    </row>
    <row r="4" spans="1:23" ht="22.5" customHeight="1" x14ac:dyDescent="0.35">
      <c r="A4" s="6" t="s">
        <v>11</v>
      </c>
      <c r="B4" s="6" t="s">
        <v>13</v>
      </c>
    </row>
    <row r="5" spans="1:23" ht="22.5" customHeight="1" x14ac:dyDescent="0.35">
      <c r="A5" s="6" t="s">
        <v>14</v>
      </c>
      <c r="B5" s="6" t="s">
        <v>16</v>
      </c>
    </row>
    <row r="6" spans="1:23" ht="22.5" customHeight="1" x14ac:dyDescent="0.35">
      <c r="A6" s="6" t="s">
        <v>17</v>
      </c>
      <c r="B6" s="6" t="s">
        <v>18</v>
      </c>
    </row>
    <row r="7" spans="1:23" ht="22.5" customHeight="1" x14ac:dyDescent="0.35">
      <c r="A7" s="6" t="s">
        <v>20</v>
      </c>
      <c r="B7" s="6" t="s">
        <v>21</v>
      </c>
    </row>
    <row r="8" spans="1:23" ht="22.5" customHeight="1" x14ac:dyDescent="0.35">
      <c r="A8" s="6" t="s">
        <v>22</v>
      </c>
      <c r="B8" s="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showGridLines="0" topLeftCell="A61" workbookViewId="0">
      <selection activeCell="H1" sqref="H1"/>
    </sheetView>
  </sheetViews>
  <sheetFormatPr defaultColWidth="12.59765625" defaultRowHeight="15.75" customHeight="1" x14ac:dyDescent="0.35"/>
  <cols>
    <col min="3" max="3" width="17.46484375" customWidth="1"/>
    <col min="4" max="4" width="14.46484375" customWidth="1"/>
    <col min="5" max="5" width="17.3984375" customWidth="1"/>
    <col min="6" max="6" width="27" customWidth="1"/>
    <col min="7" max="7" width="15.73046875" customWidth="1"/>
    <col min="8" max="8" width="14.3984375" customWidth="1"/>
    <col min="9" max="9" width="11.59765625" customWidth="1"/>
    <col min="12" max="12" width="13.73046875" customWidth="1"/>
    <col min="13" max="13" width="14.73046875" customWidth="1"/>
  </cols>
  <sheetData>
    <row r="1" spans="1:25" ht="16.899999999999999" x14ac:dyDescent="0.5">
      <c r="A1" s="1"/>
      <c r="B1" s="1"/>
      <c r="C1" s="1"/>
      <c r="D1" s="2"/>
      <c r="E1" s="2"/>
      <c r="F1" s="2"/>
      <c r="G1" s="2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 x14ac:dyDescent="0.35">
      <c r="A2" s="5" t="s">
        <v>2</v>
      </c>
      <c r="B2" s="7" t="s">
        <v>1</v>
      </c>
      <c r="C2" s="9" t="s">
        <v>15</v>
      </c>
      <c r="D2" s="10" t="s">
        <v>19</v>
      </c>
      <c r="E2" s="12" t="s">
        <v>23</v>
      </c>
      <c r="F2" s="9" t="s">
        <v>25</v>
      </c>
      <c r="G2" s="9" t="s">
        <v>26</v>
      </c>
      <c r="H2" s="9" t="s">
        <v>27</v>
      </c>
      <c r="I2" s="13" t="s">
        <v>28</v>
      </c>
      <c r="J2" s="12" t="s">
        <v>29</v>
      </c>
      <c r="K2" s="14" t="s">
        <v>30</v>
      </c>
      <c r="L2" s="12" t="s">
        <v>31</v>
      </c>
      <c r="M2" s="15" t="s">
        <v>32</v>
      </c>
    </row>
    <row r="3" spans="1:25" ht="22.5" customHeight="1" x14ac:dyDescent="0.35">
      <c r="A3" s="16" t="s">
        <v>105</v>
      </c>
      <c r="B3" s="16" t="str">
        <f t="array" ref="B3">_xlfn.XLOOKUP(A3,Trips[ID],Trips[Trip],"",0)</f>
        <v>SPS Sep 2026</v>
      </c>
      <c r="C3" s="16" t="s">
        <v>33</v>
      </c>
      <c r="D3" s="17">
        <v>46269</v>
      </c>
      <c r="E3" s="18" t="s">
        <v>34</v>
      </c>
      <c r="F3" s="16" t="s">
        <v>33</v>
      </c>
      <c r="G3" s="19" t="s">
        <v>9</v>
      </c>
      <c r="H3" s="20" t="s">
        <v>16</v>
      </c>
      <c r="I3" s="21" t="s">
        <v>35</v>
      </c>
      <c r="J3" s="22">
        <v>27</v>
      </c>
      <c r="K3" s="23">
        <v>260.19</v>
      </c>
      <c r="L3" s="22">
        <f t="shared" ref="L3:L66" si="0">IF(I3="$", J3, 1) * K3</f>
        <v>7025.13</v>
      </c>
      <c r="M3" s="24">
        <f t="shared" ref="M3:M66" si="1">K3 / IF(I3="$", 1, J3)</f>
        <v>260.19</v>
      </c>
    </row>
    <row r="4" spans="1:25" ht="22.5" customHeight="1" x14ac:dyDescent="0.35">
      <c r="A4" s="16" t="s">
        <v>105</v>
      </c>
      <c r="B4" s="25" t="str">
        <f t="array" ref="B4">_xlfn.XLOOKUP(A4,Trips[ID],Trips[Trip],"",0)</f>
        <v>SPS Sep 2026</v>
      </c>
      <c r="C4" s="25" t="s">
        <v>36</v>
      </c>
      <c r="D4" s="17">
        <v>46269</v>
      </c>
      <c r="E4" s="26" t="s">
        <v>37</v>
      </c>
      <c r="F4" s="25" t="s">
        <v>38</v>
      </c>
      <c r="G4" s="27" t="s">
        <v>13</v>
      </c>
      <c r="H4" s="20" t="s">
        <v>16</v>
      </c>
      <c r="I4" s="28" t="s">
        <v>39</v>
      </c>
      <c r="J4" s="22">
        <v>27</v>
      </c>
      <c r="K4" s="29">
        <v>239</v>
      </c>
      <c r="L4" s="30">
        <f t="shared" si="0"/>
        <v>239</v>
      </c>
      <c r="M4" s="31">
        <f t="shared" si="1"/>
        <v>8.8518518518518512</v>
      </c>
    </row>
    <row r="5" spans="1:25" ht="22.5" customHeight="1" x14ac:dyDescent="0.35">
      <c r="A5" s="16" t="s">
        <v>105</v>
      </c>
      <c r="B5" s="16" t="str">
        <f t="array" ref="B5">_xlfn.XLOOKUP(A5,Trips[ID],Trips[Trip],"",0)</f>
        <v>SPS Sep 2026</v>
      </c>
      <c r="C5" s="16" t="s">
        <v>36</v>
      </c>
      <c r="D5" s="17">
        <v>46269</v>
      </c>
      <c r="E5" s="32" t="s">
        <v>37</v>
      </c>
      <c r="F5" s="16" t="s">
        <v>40</v>
      </c>
      <c r="G5" s="33" t="s">
        <v>16</v>
      </c>
      <c r="H5" s="20" t="s">
        <v>16</v>
      </c>
      <c r="I5" s="21" t="s">
        <v>39</v>
      </c>
      <c r="J5" s="22">
        <v>27</v>
      </c>
      <c r="K5" s="23">
        <v>219</v>
      </c>
      <c r="L5" s="22">
        <f t="shared" si="0"/>
        <v>219</v>
      </c>
      <c r="M5" s="24">
        <f t="shared" si="1"/>
        <v>8.1111111111111107</v>
      </c>
    </row>
    <row r="6" spans="1:25" ht="22.5" customHeight="1" x14ac:dyDescent="0.35">
      <c r="A6" s="16" t="s">
        <v>105</v>
      </c>
      <c r="B6" s="25" t="str">
        <f t="array" ref="B6">_xlfn.XLOOKUP(A6,Trips[ID],Trips[Trip],"",0)</f>
        <v>SPS Sep 2026</v>
      </c>
      <c r="C6" s="25" t="s">
        <v>36</v>
      </c>
      <c r="D6" s="17">
        <v>46269</v>
      </c>
      <c r="E6" s="26" t="s">
        <v>37</v>
      </c>
      <c r="F6" s="25" t="s">
        <v>41</v>
      </c>
      <c r="G6" s="27" t="s">
        <v>13</v>
      </c>
      <c r="H6" s="20" t="s">
        <v>16</v>
      </c>
      <c r="I6" s="28" t="s">
        <v>39</v>
      </c>
      <c r="J6" s="22">
        <v>27</v>
      </c>
      <c r="K6" s="29">
        <v>26</v>
      </c>
      <c r="L6" s="30">
        <f t="shared" si="0"/>
        <v>26</v>
      </c>
      <c r="M6" s="31">
        <f t="shared" si="1"/>
        <v>0.96296296296296291</v>
      </c>
    </row>
    <row r="7" spans="1:25" ht="22.5" customHeight="1" x14ac:dyDescent="0.35">
      <c r="A7" s="16" t="s">
        <v>105</v>
      </c>
      <c r="B7" s="16" t="str">
        <f t="array" ref="B7">_xlfn.XLOOKUP(A7,Trips[ID],Trips[Trip],"",0)</f>
        <v>SPS Sep 2026</v>
      </c>
      <c r="C7" s="16" t="s">
        <v>36</v>
      </c>
      <c r="D7" s="17">
        <v>46269</v>
      </c>
      <c r="E7" s="32" t="s">
        <v>37</v>
      </c>
      <c r="F7" s="16" t="s">
        <v>42</v>
      </c>
      <c r="G7" s="32" t="s">
        <v>18</v>
      </c>
      <c r="H7" s="20" t="s">
        <v>16</v>
      </c>
      <c r="I7" s="21" t="s">
        <v>39</v>
      </c>
      <c r="J7" s="22">
        <v>27</v>
      </c>
      <c r="K7" s="23">
        <v>189</v>
      </c>
      <c r="L7" s="22">
        <f t="shared" si="0"/>
        <v>189</v>
      </c>
      <c r="M7" s="24">
        <f t="shared" si="1"/>
        <v>7</v>
      </c>
    </row>
    <row r="8" spans="1:25" ht="22.5" customHeight="1" x14ac:dyDescent="0.35">
      <c r="A8" s="16" t="s">
        <v>105</v>
      </c>
      <c r="B8" s="25" t="str">
        <f t="array" ref="B8">_xlfn.XLOOKUP(A8,Trips[ID],Trips[Trip],"",0)</f>
        <v>SPS Sep 2026</v>
      </c>
      <c r="C8" s="25" t="s">
        <v>36</v>
      </c>
      <c r="D8" s="17">
        <v>46269</v>
      </c>
      <c r="E8" s="26" t="s">
        <v>37</v>
      </c>
      <c r="F8" s="25" t="s">
        <v>43</v>
      </c>
      <c r="G8" s="34" t="s">
        <v>21</v>
      </c>
      <c r="H8" s="20" t="s">
        <v>16</v>
      </c>
      <c r="I8" s="28" t="s">
        <v>39</v>
      </c>
      <c r="J8" s="22">
        <v>27</v>
      </c>
      <c r="K8" s="29">
        <v>199</v>
      </c>
      <c r="L8" s="30">
        <f t="shared" si="0"/>
        <v>199</v>
      </c>
      <c r="M8" s="31">
        <f t="shared" si="1"/>
        <v>7.3703703703703702</v>
      </c>
    </row>
    <row r="9" spans="1:25" ht="22.5" customHeight="1" x14ac:dyDescent="0.35">
      <c r="A9" s="16" t="s">
        <v>105</v>
      </c>
      <c r="B9" s="16" t="str">
        <f t="array" ref="B9">_xlfn.XLOOKUP(A9,Trips[ID],Trips[Trip],"",0)</f>
        <v>SPS Sep 2026</v>
      </c>
      <c r="C9" s="16" t="s">
        <v>36</v>
      </c>
      <c r="D9" s="17">
        <v>46269</v>
      </c>
      <c r="E9" s="32" t="s">
        <v>37</v>
      </c>
      <c r="F9" s="16" t="s">
        <v>44</v>
      </c>
      <c r="G9" s="35" t="s">
        <v>21</v>
      </c>
      <c r="H9" s="20" t="s">
        <v>16</v>
      </c>
      <c r="I9" s="21" t="s">
        <v>39</v>
      </c>
      <c r="J9" s="22">
        <v>27</v>
      </c>
      <c r="K9" s="23">
        <v>149</v>
      </c>
      <c r="L9" s="22">
        <f t="shared" si="0"/>
        <v>149</v>
      </c>
      <c r="M9" s="24">
        <f t="shared" si="1"/>
        <v>5.5185185185185182</v>
      </c>
    </row>
    <row r="10" spans="1:25" ht="22.5" customHeight="1" x14ac:dyDescent="0.35">
      <c r="A10" s="16" t="s">
        <v>105</v>
      </c>
      <c r="B10" s="25" t="str">
        <f t="array" ref="B10">_xlfn.XLOOKUP(A10,Trips[ID],Trips[Trip],"",0)</f>
        <v>SPS Sep 2026</v>
      </c>
      <c r="C10" s="25" t="s">
        <v>45</v>
      </c>
      <c r="D10" s="17">
        <v>46269</v>
      </c>
      <c r="E10" s="26" t="s">
        <v>46</v>
      </c>
      <c r="F10" s="25" t="s">
        <v>47</v>
      </c>
      <c r="G10" s="36" t="s">
        <v>9</v>
      </c>
      <c r="H10" s="20" t="s">
        <v>21</v>
      </c>
      <c r="I10" s="28" t="s">
        <v>39</v>
      </c>
      <c r="J10" s="22">
        <v>27</v>
      </c>
      <c r="K10" s="29">
        <v>351.31</v>
      </c>
      <c r="L10" s="30">
        <f t="shared" si="0"/>
        <v>351.31</v>
      </c>
      <c r="M10" s="31">
        <f t="shared" si="1"/>
        <v>13.011481481481482</v>
      </c>
    </row>
    <row r="11" spans="1:25" ht="22.5" customHeight="1" x14ac:dyDescent="0.35">
      <c r="A11" s="16" t="s">
        <v>105</v>
      </c>
      <c r="B11" s="16" t="str">
        <f t="array" ref="B11">_xlfn.XLOOKUP(A11,Trips[ID],Trips[Trip],"",0)</f>
        <v>SPS Sep 2026</v>
      </c>
      <c r="C11" s="16" t="s">
        <v>48</v>
      </c>
      <c r="D11" s="17">
        <v>46270</v>
      </c>
      <c r="E11" s="32" t="s">
        <v>37</v>
      </c>
      <c r="F11" s="16" t="s">
        <v>49</v>
      </c>
      <c r="G11" s="33" t="s">
        <v>16</v>
      </c>
      <c r="H11" s="20" t="s">
        <v>16</v>
      </c>
      <c r="I11" s="21" t="s">
        <v>39</v>
      </c>
      <c r="J11" s="22">
        <v>27</v>
      </c>
      <c r="K11" s="23">
        <v>95</v>
      </c>
      <c r="L11" s="22">
        <f t="shared" si="0"/>
        <v>95</v>
      </c>
      <c r="M11" s="24">
        <f t="shared" si="1"/>
        <v>3.5185185185185186</v>
      </c>
    </row>
    <row r="12" spans="1:25" ht="22.5" customHeight="1" x14ac:dyDescent="0.35">
      <c r="A12" s="16" t="s">
        <v>105</v>
      </c>
      <c r="B12" s="25" t="str">
        <f t="array" ref="B12">_xlfn.XLOOKUP(A12,Trips[ID],Trips[Trip],"",0)</f>
        <v>SPS Sep 2026</v>
      </c>
      <c r="C12" s="25" t="s">
        <v>48</v>
      </c>
      <c r="D12" s="17">
        <v>46270</v>
      </c>
      <c r="E12" s="26" t="s">
        <v>37</v>
      </c>
      <c r="F12" s="25" t="s">
        <v>50</v>
      </c>
      <c r="G12" s="34" t="s">
        <v>21</v>
      </c>
      <c r="H12" s="20" t="s">
        <v>16</v>
      </c>
      <c r="I12" s="28" t="s">
        <v>39</v>
      </c>
      <c r="J12" s="22">
        <v>27</v>
      </c>
      <c r="K12" s="29">
        <v>77</v>
      </c>
      <c r="L12" s="30">
        <f t="shared" si="0"/>
        <v>77</v>
      </c>
      <c r="M12" s="31">
        <f t="shared" si="1"/>
        <v>2.8518518518518516</v>
      </c>
    </row>
    <row r="13" spans="1:25" ht="22.5" customHeight="1" x14ac:dyDescent="0.35">
      <c r="A13" s="16" t="s">
        <v>105</v>
      </c>
      <c r="B13" s="16" t="str">
        <f t="array" ref="B13">_xlfn.XLOOKUP(A13,Trips[ID],Trips[Trip],"",0)</f>
        <v>SPS Sep 2026</v>
      </c>
      <c r="C13" s="16" t="s">
        <v>48</v>
      </c>
      <c r="D13" s="17">
        <v>46270</v>
      </c>
      <c r="E13" s="32" t="s">
        <v>37</v>
      </c>
      <c r="F13" s="16" t="s">
        <v>51</v>
      </c>
      <c r="G13" s="37" t="s">
        <v>13</v>
      </c>
      <c r="H13" s="20" t="s">
        <v>16</v>
      </c>
      <c r="I13" s="21" t="s">
        <v>39</v>
      </c>
      <c r="J13" s="22">
        <v>27</v>
      </c>
      <c r="K13" s="23">
        <v>50</v>
      </c>
      <c r="L13" s="22">
        <f t="shared" si="0"/>
        <v>50</v>
      </c>
      <c r="M13" s="24">
        <f t="shared" si="1"/>
        <v>1.8518518518518519</v>
      </c>
    </row>
    <row r="14" spans="1:25" ht="22.5" customHeight="1" x14ac:dyDescent="0.35">
      <c r="A14" s="16" t="s">
        <v>105</v>
      </c>
      <c r="B14" s="25" t="str">
        <f t="array" ref="B14">_xlfn.XLOOKUP(A14,Trips[ID],Trips[Trip],"",0)</f>
        <v>SPS Sep 2026</v>
      </c>
      <c r="C14" s="25" t="s">
        <v>48</v>
      </c>
      <c r="D14" s="17">
        <v>46270</v>
      </c>
      <c r="E14" s="26" t="s">
        <v>37</v>
      </c>
      <c r="F14" s="25" t="s">
        <v>52</v>
      </c>
      <c r="G14" s="34" t="s">
        <v>21</v>
      </c>
      <c r="H14" s="20" t="s">
        <v>16</v>
      </c>
      <c r="I14" s="28" t="s">
        <v>39</v>
      </c>
      <c r="J14" s="22">
        <v>27</v>
      </c>
      <c r="K14" s="29">
        <v>71</v>
      </c>
      <c r="L14" s="30">
        <f t="shared" si="0"/>
        <v>71</v>
      </c>
      <c r="M14" s="31">
        <f t="shared" si="1"/>
        <v>2.6296296296296298</v>
      </c>
    </row>
    <row r="15" spans="1:25" ht="22.5" customHeight="1" x14ac:dyDescent="0.35">
      <c r="A15" s="16" t="s">
        <v>105</v>
      </c>
      <c r="B15" s="16" t="str">
        <f t="array" ref="B15">_xlfn.XLOOKUP(A15,Trips[ID],Trips[Trip],"",0)</f>
        <v>SPS Sep 2026</v>
      </c>
      <c r="C15" s="16" t="s">
        <v>48</v>
      </c>
      <c r="D15" s="17">
        <v>46270</v>
      </c>
      <c r="E15" s="32" t="s">
        <v>37</v>
      </c>
      <c r="F15" s="16" t="s">
        <v>53</v>
      </c>
      <c r="G15" s="32" t="s">
        <v>18</v>
      </c>
      <c r="H15" s="20" t="s">
        <v>16</v>
      </c>
      <c r="I15" s="21" t="s">
        <v>39</v>
      </c>
      <c r="J15" s="22">
        <v>27</v>
      </c>
      <c r="K15" s="23">
        <v>80</v>
      </c>
      <c r="L15" s="22">
        <f t="shared" si="0"/>
        <v>80</v>
      </c>
      <c r="M15" s="24">
        <f t="shared" si="1"/>
        <v>2.9629629629629628</v>
      </c>
    </row>
    <row r="16" spans="1:25" ht="22.5" customHeight="1" x14ac:dyDescent="0.35">
      <c r="A16" s="16" t="s">
        <v>105</v>
      </c>
      <c r="B16" s="25" t="str">
        <f t="array" ref="B16">_xlfn.XLOOKUP(A16,Trips[ID],Trips[Trip],"",0)</f>
        <v>SPS Sep 2026</v>
      </c>
      <c r="C16" s="25" t="s">
        <v>54</v>
      </c>
      <c r="D16" s="17">
        <v>46270</v>
      </c>
      <c r="E16" s="26" t="s">
        <v>37</v>
      </c>
      <c r="F16" s="38" t="s">
        <v>55</v>
      </c>
      <c r="G16" s="39" t="s">
        <v>16</v>
      </c>
      <c r="H16" s="20" t="s">
        <v>16</v>
      </c>
      <c r="I16" s="28" t="s">
        <v>39</v>
      </c>
      <c r="J16" s="22">
        <v>27</v>
      </c>
      <c r="K16" s="29">
        <v>350</v>
      </c>
      <c r="L16" s="30">
        <f t="shared" si="0"/>
        <v>350</v>
      </c>
      <c r="M16" s="31">
        <f t="shared" si="1"/>
        <v>12.962962962962964</v>
      </c>
    </row>
    <row r="17" spans="1:13" ht="22.5" customHeight="1" x14ac:dyDescent="0.35">
      <c r="A17" s="16" t="s">
        <v>105</v>
      </c>
      <c r="B17" s="16" t="str">
        <f t="array" ref="B17">_xlfn.XLOOKUP(A17,Trips[ID],Trips[Trip],"",0)</f>
        <v>SPS Sep 2026</v>
      </c>
      <c r="C17" s="16" t="s">
        <v>54</v>
      </c>
      <c r="D17" s="17">
        <v>46270</v>
      </c>
      <c r="E17" s="32" t="s">
        <v>37</v>
      </c>
      <c r="F17" s="16" t="s">
        <v>56</v>
      </c>
      <c r="G17" s="33" t="s">
        <v>16</v>
      </c>
      <c r="H17" s="20" t="s">
        <v>16</v>
      </c>
      <c r="I17" s="21" t="s">
        <v>39</v>
      </c>
      <c r="J17" s="22">
        <v>27</v>
      </c>
      <c r="K17" s="23">
        <v>35</v>
      </c>
      <c r="L17" s="22">
        <f t="shared" si="0"/>
        <v>35</v>
      </c>
      <c r="M17" s="24">
        <f t="shared" si="1"/>
        <v>1.2962962962962963</v>
      </c>
    </row>
    <row r="18" spans="1:13" ht="22.5" customHeight="1" x14ac:dyDescent="0.35">
      <c r="A18" s="16" t="s">
        <v>105</v>
      </c>
      <c r="B18" s="25" t="str">
        <f t="array" ref="B18">_xlfn.XLOOKUP(A18,Trips[ID],Trips[Trip],"",0)</f>
        <v>SPS Sep 2026</v>
      </c>
      <c r="C18" s="25" t="s">
        <v>54</v>
      </c>
      <c r="D18" s="17">
        <v>46270</v>
      </c>
      <c r="E18" s="26" t="s">
        <v>37</v>
      </c>
      <c r="F18" s="25" t="s">
        <v>56</v>
      </c>
      <c r="G18" s="34" t="s">
        <v>21</v>
      </c>
      <c r="H18" s="20" t="s">
        <v>16</v>
      </c>
      <c r="I18" s="28" t="s">
        <v>39</v>
      </c>
      <c r="J18" s="22">
        <v>27</v>
      </c>
      <c r="K18" s="29">
        <v>35</v>
      </c>
      <c r="L18" s="30">
        <f t="shared" si="0"/>
        <v>35</v>
      </c>
      <c r="M18" s="31">
        <f t="shared" si="1"/>
        <v>1.2962962962962963</v>
      </c>
    </row>
    <row r="19" spans="1:13" ht="22.5" customHeight="1" x14ac:dyDescent="0.35">
      <c r="A19" s="16" t="s">
        <v>105</v>
      </c>
      <c r="B19" s="16" t="str">
        <f t="array" ref="B19">_xlfn.XLOOKUP(A19,Trips[ID],Trips[Trip],"",0)</f>
        <v>SPS Sep 2026</v>
      </c>
      <c r="C19" s="16" t="s">
        <v>54</v>
      </c>
      <c r="D19" s="17">
        <v>46270</v>
      </c>
      <c r="E19" s="32" t="s">
        <v>37</v>
      </c>
      <c r="F19" s="16" t="s">
        <v>56</v>
      </c>
      <c r="G19" s="32" t="s">
        <v>18</v>
      </c>
      <c r="H19" s="20" t="s">
        <v>16</v>
      </c>
      <c r="I19" s="21" t="s">
        <v>39</v>
      </c>
      <c r="J19" s="22">
        <v>27</v>
      </c>
      <c r="K19" s="23">
        <v>35</v>
      </c>
      <c r="L19" s="22">
        <f t="shared" si="0"/>
        <v>35</v>
      </c>
      <c r="M19" s="24">
        <f t="shared" si="1"/>
        <v>1.2962962962962963</v>
      </c>
    </row>
    <row r="20" spans="1:13" ht="22.5" customHeight="1" x14ac:dyDescent="0.35">
      <c r="A20" s="16" t="s">
        <v>105</v>
      </c>
      <c r="B20" s="25" t="str">
        <f t="array" ref="B20">_xlfn.XLOOKUP(A20,Trips[ID],Trips[Trip],"",0)</f>
        <v>SPS Sep 2026</v>
      </c>
      <c r="C20" s="25" t="s">
        <v>54</v>
      </c>
      <c r="D20" s="17">
        <v>46270</v>
      </c>
      <c r="E20" s="26" t="s">
        <v>37</v>
      </c>
      <c r="F20" s="25" t="s">
        <v>57</v>
      </c>
      <c r="G20" s="26" t="s">
        <v>18</v>
      </c>
      <c r="H20" s="20" t="s">
        <v>16</v>
      </c>
      <c r="I20" s="28" t="s">
        <v>39</v>
      </c>
      <c r="J20" s="22">
        <v>27</v>
      </c>
      <c r="K20" s="29">
        <v>250</v>
      </c>
      <c r="L20" s="30">
        <f t="shared" si="0"/>
        <v>250</v>
      </c>
      <c r="M20" s="31">
        <f t="shared" si="1"/>
        <v>9.2592592592592595</v>
      </c>
    </row>
    <row r="21" spans="1:13" ht="22.5" customHeight="1" x14ac:dyDescent="0.35">
      <c r="A21" s="16" t="s">
        <v>105</v>
      </c>
      <c r="B21" s="16" t="str">
        <f t="array" ref="B21">_xlfn.XLOOKUP(A21,Trips[ID],Trips[Trip],"",0)</f>
        <v>SPS Sep 2026</v>
      </c>
      <c r="C21" s="16" t="s">
        <v>54</v>
      </c>
      <c r="D21" s="17">
        <v>46270</v>
      </c>
      <c r="E21" s="32" t="s">
        <v>37</v>
      </c>
      <c r="F21" s="16" t="s">
        <v>58</v>
      </c>
      <c r="G21" s="35" t="s">
        <v>21</v>
      </c>
      <c r="H21" s="20" t="s">
        <v>16</v>
      </c>
      <c r="I21" s="21" t="s">
        <v>39</v>
      </c>
      <c r="J21" s="22">
        <v>27</v>
      </c>
      <c r="K21" s="23">
        <v>230</v>
      </c>
      <c r="L21" s="22">
        <f t="shared" si="0"/>
        <v>230</v>
      </c>
      <c r="M21" s="24">
        <f t="shared" si="1"/>
        <v>8.518518518518519</v>
      </c>
    </row>
    <row r="22" spans="1:13" ht="22.5" customHeight="1" x14ac:dyDescent="0.35">
      <c r="A22" s="16" t="s">
        <v>105</v>
      </c>
      <c r="B22" s="25" t="str">
        <f t="array" ref="B22">_xlfn.XLOOKUP(A22,Trips[ID],Trips[Trip],"",0)</f>
        <v>SPS Sep 2026</v>
      </c>
      <c r="C22" s="25" t="s">
        <v>54</v>
      </c>
      <c r="D22" s="17">
        <v>46270</v>
      </c>
      <c r="E22" s="26" t="s">
        <v>37</v>
      </c>
      <c r="F22" s="25" t="s">
        <v>59</v>
      </c>
      <c r="G22" s="27" t="s">
        <v>13</v>
      </c>
      <c r="H22" s="20" t="s">
        <v>16</v>
      </c>
      <c r="I22" s="28" t="s">
        <v>39</v>
      </c>
      <c r="J22" s="22">
        <v>27</v>
      </c>
      <c r="K22" s="29">
        <v>35</v>
      </c>
      <c r="L22" s="30">
        <f t="shared" si="0"/>
        <v>35</v>
      </c>
      <c r="M22" s="31">
        <f t="shared" si="1"/>
        <v>1.2962962962962963</v>
      </c>
    </row>
    <row r="23" spans="1:13" ht="22.5" customHeight="1" x14ac:dyDescent="0.35">
      <c r="A23" s="16" t="s">
        <v>105</v>
      </c>
      <c r="B23" s="16" t="str">
        <f t="array" ref="B23">_xlfn.XLOOKUP(A23,Trips[ID],Trips[Trip],"",0)</f>
        <v>SPS Sep 2026</v>
      </c>
      <c r="C23" s="16" t="s">
        <v>54</v>
      </c>
      <c r="D23" s="17">
        <v>46270</v>
      </c>
      <c r="E23" s="32" t="s">
        <v>37</v>
      </c>
      <c r="F23" s="16" t="s">
        <v>60</v>
      </c>
      <c r="G23" s="37" t="s">
        <v>13</v>
      </c>
      <c r="H23" s="20" t="s">
        <v>16</v>
      </c>
      <c r="I23" s="21" t="s">
        <v>39</v>
      </c>
      <c r="J23" s="22">
        <v>27</v>
      </c>
      <c r="K23" s="23">
        <v>330</v>
      </c>
      <c r="L23" s="22">
        <f t="shared" si="0"/>
        <v>330</v>
      </c>
      <c r="M23" s="24">
        <f t="shared" si="1"/>
        <v>12.222222222222221</v>
      </c>
    </row>
    <row r="24" spans="1:13" ht="22.5" customHeight="1" x14ac:dyDescent="0.35">
      <c r="A24" s="16" t="s">
        <v>105</v>
      </c>
      <c r="B24" s="25" t="str">
        <f t="array" ref="B24">_xlfn.XLOOKUP(A24,Trips[ID],Trips[Trip],"",0)</f>
        <v>SPS Sep 2026</v>
      </c>
      <c r="C24" s="25" t="s">
        <v>54</v>
      </c>
      <c r="D24" s="17">
        <v>46270</v>
      </c>
      <c r="E24" s="26" t="s">
        <v>37</v>
      </c>
      <c r="F24" s="25" t="s">
        <v>61</v>
      </c>
      <c r="G24" s="27" t="s">
        <v>13</v>
      </c>
      <c r="H24" s="20" t="s">
        <v>16</v>
      </c>
      <c r="I24" s="28" t="s">
        <v>39</v>
      </c>
      <c r="J24" s="22">
        <v>27</v>
      </c>
      <c r="K24" s="29">
        <v>160</v>
      </c>
      <c r="L24" s="30">
        <f t="shared" si="0"/>
        <v>160</v>
      </c>
      <c r="M24" s="31">
        <f t="shared" si="1"/>
        <v>5.9259259259259256</v>
      </c>
    </row>
    <row r="25" spans="1:13" ht="22.5" customHeight="1" x14ac:dyDescent="0.35">
      <c r="A25" s="16" t="s">
        <v>105</v>
      </c>
      <c r="B25" s="16" t="str">
        <f t="array" ref="B25">_xlfn.XLOOKUP(A25,Trips[ID],Trips[Trip],"",0)</f>
        <v>SPS Sep 2026</v>
      </c>
      <c r="C25" s="16" t="s">
        <v>54</v>
      </c>
      <c r="D25" s="17">
        <v>46270</v>
      </c>
      <c r="E25" s="32" t="s">
        <v>37</v>
      </c>
      <c r="F25" s="16" t="s">
        <v>62</v>
      </c>
      <c r="G25" s="35" t="s">
        <v>21</v>
      </c>
      <c r="H25" s="20" t="s">
        <v>16</v>
      </c>
      <c r="I25" s="21" t="s">
        <v>39</v>
      </c>
      <c r="J25" s="22">
        <v>27</v>
      </c>
      <c r="K25" s="23">
        <v>35</v>
      </c>
      <c r="L25" s="22">
        <f t="shared" si="0"/>
        <v>35</v>
      </c>
      <c r="M25" s="24">
        <f t="shared" si="1"/>
        <v>1.2962962962962963</v>
      </c>
    </row>
    <row r="26" spans="1:13" ht="22.5" customHeight="1" x14ac:dyDescent="0.35">
      <c r="A26" s="16" t="s">
        <v>105</v>
      </c>
      <c r="B26" s="25" t="str">
        <f t="array" ref="B26">_xlfn.XLOOKUP(A26,Trips[ID],Trips[Trip],"",0)</f>
        <v>SPS Sep 2026</v>
      </c>
      <c r="C26" s="25" t="s">
        <v>54</v>
      </c>
      <c r="D26" s="17">
        <v>46270</v>
      </c>
      <c r="E26" s="26" t="s">
        <v>37</v>
      </c>
      <c r="F26" s="25" t="s">
        <v>63</v>
      </c>
      <c r="G26" s="36" t="s">
        <v>9</v>
      </c>
      <c r="H26" s="20" t="s">
        <v>16</v>
      </c>
      <c r="I26" s="28" t="s">
        <v>39</v>
      </c>
      <c r="J26" s="22">
        <v>27</v>
      </c>
      <c r="K26" s="29">
        <v>50</v>
      </c>
      <c r="L26" s="30">
        <f t="shared" si="0"/>
        <v>50</v>
      </c>
      <c r="M26" s="31">
        <f t="shared" si="1"/>
        <v>1.8518518518518519</v>
      </c>
    </row>
    <row r="27" spans="1:13" ht="22.5" customHeight="1" x14ac:dyDescent="0.35">
      <c r="A27" s="16" t="s">
        <v>105</v>
      </c>
      <c r="B27" s="16" t="str">
        <f t="array" ref="B27">_xlfn.XLOOKUP(A27,Trips[ID],Trips[Trip],"",0)</f>
        <v>SPS Sep 2026</v>
      </c>
      <c r="C27" s="16" t="s">
        <v>64</v>
      </c>
      <c r="D27" s="17">
        <v>46270</v>
      </c>
      <c r="E27" s="40" t="s">
        <v>65</v>
      </c>
      <c r="F27" s="16" t="s">
        <v>66</v>
      </c>
      <c r="G27" s="19" t="s">
        <v>9</v>
      </c>
      <c r="H27" s="20" t="s">
        <v>13</v>
      </c>
      <c r="I27" s="21" t="s">
        <v>39</v>
      </c>
      <c r="J27" s="22">
        <v>27</v>
      </c>
      <c r="K27" s="23">
        <v>400</v>
      </c>
      <c r="L27" s="22">
        <f t="shared" si="0"/>
        <v>400</v>
      </c>
      <c r="M27" s="24">
        <f t="shared" si="1"/>
        <v>14.814814814814815</v>
      </c>
    </row>
    <row r="28" spans="1:13" ht="22.5" customHeight="1" x14ac:dyDescent="0.35">
      <c r="A28" s="16" t="s">
        <v>105</v>
      </c>
      <c r="B28" s="25" t="str">
        <f t="array" ref="B28">_xlfn.XLOOKUP(A28,Trips[ID],Trips[Trip],"",0)</f>
        <v>SPS Sep 2026</v>
      </c>
      <c r="C28" s="25" t="s">
        <v>67</v>
      </c>
      <c r="D28" s="17">
        <v>46270</v>
      </c>
      <c r="E28" s="41" t="s">
        <v>65</v>
      </c>
      <c r="F28" s="25" t="s">
        <v>68</v>
      </c>
      <c r="G28" s="36" t="s">
        <v>9</v>
      </c>
      <c r="H28" s="20" t="s">
        <v>16</v>
      </c>
      <c r="I28" s="28" t="s">
        <v>39</v>
      </c>
      <c r="J28" s="22">
        <v>27</v>
      </c>
      <c r="K28" s="29">
        <v>600</v>
      </c>
      <c r="L28" s="30">
        <f t="shared" si="0"/>
        <v>600</v>
      </c>
      <c r="M28" s="31">
        <f t="shared" si="1"/>
        <v>22.222222222222221</v>
      </c>
    </row>
    <row r="29" spans="1:13" ht="22.5" customHeight="1" x14ac:dyDescent="0.35">
      <c r="A29" s="16" t="s">
        <v>105</v>
      </c>
      <c r="B29" s="16" t="str">
        <f t="array" ref="B29">_xlfn.XLOOKUP(A29,Trips[ID],Trips[Trip],"",0)</f>
        <v>SPS Sep 2026</v>
      </c>
      <c r="C29" s="16" t="s">
        <v>69</v>
      </c>
      <c r="D29" s="17">
        <v>46270</v>
      </c>
      <c r="E29" s="32" t="s">
        <v>37</v>
      </c>
      <c r="F29" s="16" t="s">
        <v>70</v>
      </c>
      <c r="G29" s="19" t="s">
        <v>9</v>
      </c>
      <c r="H29" s="20" t="s">
        <v>16</v>
      </c>
      <c r="I29" s="21" t="s">
        <v>39</v>
      </c>
      <c r="J29" s="22">
        <v>27</v>
      </c>
      <c r="K29" s="23">
        <v>250</v>
      </c>
      <c r="L29" s="22">
        <f t="shared" si="0"/>
        <v>250</v>
      </c>
      <c r="M29" s="24">
        <f t="shared" si="1"/>
        <v>9.2592592592592595</v>
      </c>
    </row>
    <row r="30" spans="1:13" ht="22.5" customHeight="1" x14ac:dyDescent="0.35">
      <c r="A30" s="16" t="s">
        <v>105</v>
      </c>
      <c r="B30" s="25" t="str">
        <f t="array" ref="B30">_xlfn.XLOOKUP(A30,Trips[ID],Trips[Trip],"",0)</f>
        <v>SPS Sep 2026</v>
      </c>
      <c r="C30" s="25" t="s">
        <v>69</v>
      </c>
      <c r="D30" s="17">
        <v>46270</v>
      </c>
      <c r="E30" s="26" t="s">
        <v>37</v>
      </c>
      <c r="F30" s="25" t="s">
        <v>71</v>
      </c>
      <c r="G30" s="27" t="s">
        <v>13</v>
      </c>
      <c r="H30" s="20" t="s">
        <v>16</v>
      </c>
      <c r="I30" s="28" t="s">
        <v>39</v>
      </c>
      <c r="J30" s="22">
        <v>27</v>
      </c>
      <c r="K30" s="29">
        <v>210</v>
      </c>
      <c r="L30" s="30">
        <f t="shared" si="0"/>
        <v>210</v>
      </c>
      <c r="M30" s="31">
        <f t="shared" si="1"/>
        <v>7.7777777777777777</v>
      </c>
    </row>
    <row r="31" spans="1:13" ht="22.5" customHeight="1" x14ac:dyDescent="0.35">
      <c r="A31" s="16" t="s">
        <v>105</v>
      </c>
      <c r="B31" s="16" t="str">
        <f t="array" ref="B31">_xlfn.XLOOKUP(A31,Trips[ID],Trips[Trip],"",0)</f>
        <v>SPS Sep 2026</v>
      </c>
      <c r="C31" s="16" t="s">
        <v>69</v>
      </c>
      <c r="D31" s="17">
        <v>46270</v>
      </c>
      <c r="E31" s="32" t="s">
        <v>37</v>
      </c>
      <c r="F31" s="16" t="s">
        <v>72</v>
      </c>
      <c r="G31" s="35" t="s">
        <v>21</v>
      </c>
      <c r="H31" s="20" t="s">
        <v>16</v>
      </c>
      <c r="I31" s="21" t="s">
        <v>39</v>
      </c>
      <c r="J31" s="22">
        <v>27</v>
      </c>
      <c r="K31" s="23">
        <v>210</v>
      </c>
      <c r="L31" s="22">
        <f t="shared" si="0"/>
        <v>210</v>
      </c>
      <c r="M31" s="24">
        <f t="shared" si="1"/>
        <v>7.7777777777777777</v>
      </c>
    </row>
    <row r="32" spans="1:13" ht="22.5" customHeight="1" x14ac:dyDescent="0.35">
      <c r="A32" s="16" t="s">
        <v>105</v>
      </c>
      <c r="B32" s="25" t="str">
        <f t="array" ref="B32">_xlfn.XLOOKUP(A32,Trips[ID],Trips[Trip],"",0)</f>
        <v>SPS Sep 2026</v>
      </c>
      <c r="C32" s="25" t="s">
        <v>69</v>
      </c>
      <c r="D32" s="17">
        <v>46270</v>
      </c>
      <c r="E32" s="26" t="s">
        <v>37</v>
      </c>
      <c r="F32" s="25" t="s">
        <v>73</v>
      </c>
      <c r="G32" s="34" t="s">
        <v>21</v>
      </c>
      <c r="H32" s="20" t="s">
        <v>16</v>
      </c>
      <c r="I32" s="28" t="s">
        <v>39</v>
      </c>
      <c r="J32" s="22">
        <v>27</v>
      </c>
      <c r="K32" s="29">
        <v>75</v>
      </c>
      <c r="L32" s="30">
        <f t="shared" si="0"/>
        <v>75</v>
      </c>
      <c r="M32" s="31">
        <f t="shared" si="1"/>
        <v>2.7777777777777777</v>
      </c>
    </row>
    <row r="33" spans="1:13" ht="22.5" customHeight="1" x14ac:dyDescent="0.35">
      <c r="A33" s="16" t="s">
        <v>105</v>
      </c>
      <c r="B33" s="16" t="str">
        <f t="array" ref="B33">_xlfn.XLOOKUP(A33,Trips[ID],Trips[Trip],"",0)</f>
        <v>SPS Sep 2026</v>
      </c>
      <c r="C33" s="16" t="s">
        <v>69</v>
      </c>
      <c r="D33" s="17">
        <v>46270</v>
      </c>
      <c r="E33" s="32" t="s">
        <v>37</v>
      </c>
      <c r="F33" s="16" t="s">
        <v>74</v>
      </c>
      <c r="G33" s="33" t="s">
        <v>16</v>
      </c>
      <c r="H33" s="20" t="s">
        <v>16</v>
      </c>
      <c r="I33" s="21" t="s">
        <v>39</v>
      </c>
      <c r="J33" s="22">
        <v>27</v>
      </c>
      <c r="K33" s="23">
        <v>75</v>
      </c>
      <c r="L33" s="22">
        <f t="shared" si="0"/>
        <v>75</v>
      </c>
      <c r="M33" s="24">
        <f t="shared" si="1"/>
        <v>2.7777777777777777</v>
      </c>
    </row>
    <row r="34" spans="1:13" ht="22.5" customHeight="1" x14ac:dyDescent="0.35">
      <c r="A34" s="16" t="s">
        <v>105</v>
      </c>
      <c r="B34" s="25" t="str">
        <f t="array" ref="B34">_xlfn.XLOOKUP(A34,Trips[ID],Trips[Trip],"",0)</f>
        <v>SPS Sep 2026</v>
      </c>
      <c r="C34" s="25" t="s">
        <v>69</v>
      </c>
      <c r="D34" s="17">
        <v>46270</v>
      </c>
      <c r="E34" s="26" t="s">
        <v>37</v>
      </c>
      <c r="F34" s="25" t="s">
        <v>75</v>
      </c>
      <c r="G34" s="26" t="s">
        <v>18</v>
      </c>
      <c r="H34" s="20" t="s">
        <v>16</v>
      </c>
      <c r="I34" s="28" t="s">
        <v>39</v>
      </c>
      <c r="J34" s="22">
        <v>27</v>
      </c>
      <c r="K34" s="29">
        <v>360</v>
      </c>
      <c r="L34" s="30">
        <f t="shared" si="0"/>
        <v>360</v>
      </c>
      <c r="M34" s="31">
        <f t="shared" si="1"/>
        <v>13.333333333333334</v>
      </c>
    </row>
    <row r="35" spans="1:13" ht="22.5" customHeight="1" x14ac:dyDescent="0.35">
      <c r="A35" s="16" t="s">
        <v>105</v>
      </c>
      <c r="B35" s="16" t="str">
        <f t="array" ref="B35">_xlfn.XLOOKUP(A35,Trips[ID],Trips[Trip],"",0)</f>
        <v>SPS Sep 2026</v>
      </c>
      <c r="C35" s="16" t="s">
        <v>69</v>
      </c>
      <c r="D35" s="17">
        <v>46270</v>
      </c>
      <c r="E35" s="32" t="s">
        <v>37</v>
      </c>
      <c r="F35" s="16" t="s">
        <v>76</v>
      </c>
      <c r="G35" s="33" t="s">
        <v>16</v>
      </c>
      <c r="H35" s="20" t="s">
        <v>16</v>
      </c>
      <c r="I35" s="21" t="s">
        <v>39</v>
      </c>
      <c r="J35" s="22">
        <v>27</v>
      </c>
      <c r="K35" s="23">
        <v>180</v>
      </c>
      <c r="L35" s="22">
        <f t="shared" si="0"/>
        <v>180</v>
      </c>
      <c r="M35" s="24">
        <f t="shared" si="1"/>
        <v>6.666666666666667</v>
      </c>
    </row>
    <row r="36" spans="1:13" ht="22.5" customHeight="1" x14ac:dyDescent="0.35">
      <c r="A36" s="16" t="s">
        <v>105</v>
      </c>
      <c r="B36" s="25" t="str">
        <f t="array" ref="B36">_xlfn.XLOOKUP(A36,Trips[ID],Trips[Trip],"",0)</f>
        <v>SPS Sep 2026</v>
      </c>
      <c r="C36" s="25" t="s">
        <v>69</v>
      </c>
      <c r="D36" s="17">
        <v>46270</v>
      </c>
      <c r="E36" s="26" t="s">
        <v>37</v>
      </c>
      <c r="F36" s="25" t="s">
        <v>77</v>
      </c>
      <c r="G36" s="34" t="s">
        <v>21</v>
      </c>
      <c r="H36" s="20" t="s">
        <v>16</v>
      </c>
      <c r="I36" s="28" t="s">
        <v>39</v>
      </c>
      <c r="J36" s="22">
        <v>27</v>
      </c>
      <c r="K36" s="29">
        <v>180</v>
      </c>
      <c r="L36" s="30">
        <f t="shared" si="0"/>
        <v>180</v>
      </c>
      <c r="M36" s="31">
        <f t="shared" si="1"/>
        <v>6.666666666666667</v>
      </c>
    </row>
    <row r="37" spans="1:13" ht="22.5" customHeight="1" x14ac:dyDescent="0.35">
      <c r="A37" s="16" t="s">
        <v>105</v>
      </c>
      <c r="B37" s="16" t="str">
        <f t="array" ref="B37">_xlfn.XLOOKUP(A37,Trips[ID],Trips[Trip],"",0)</f>
        <v>SPS Sep 2026</v>
      </c>
      <c r="C37" s="16" t="s">
        <v>69</v>
      </c>
      <c r="D37" s="17">
        <v>46270</v>
      </c>
      <c r="E37" s="32" t="s">
        <v>37</v>
      </c>
      <c r="F37" s="16" t="s">
        <v>78</v>
      </c>
      <c r="G37" s="33" t="s">
        <v>16</v>
      </c>
      <c r="H37" s="20" t="s">
        <v>16</v>
      </c>
      <c r="I37" s="21" t="s">
        <v>39</v>
      </c>
      <c r="J37" s="22">
        <v>27</v>
      </c>
      <c r="K37" s="23">
        <v>180</v>
      </c>
      <c r="L37" s="22">
        <f t="shared" si="0"/>
        <v>180</v>
      </c>
      <c r="M37" s="24">
        <f t="shared" si="1"/>
        <v>6.666666666666667</v>
      </c>
    </row>
    <row r="38" spans="1:13" ht="22.5" customHeight="1" x14ac:dyDescent="0.35">
      <c r="A38" s="16" t="s">
        <v>105</v>
      </c>
      <c r="B38" s="25" t="str">
        <f t="array" ref="B38">_xlfn.XLOOKUP(A38,Trips[ID],Trips[Trip],"",0)</f>
        <v>SPS Sep 2026</v>
      </c>
      <c r="C38" s="25" t="s">
        <v>69</v>
      </c>
      <c r="D38" s="17">
        <v>46270</v>
      </c>
      <c r="E38" s="26" t="s">
        <v>37</v>
      </c>
      <c r="F38" s="25" t="s">
        <v>79</v>
      </c>
      <c r="G38" s="36" t="s">
        <v>9</v>
      </c>
      <c r="H38" s="20" t="s">
        <v>16</v>
      </c>
      <c r="I38" s="28" t="s">
        <v>39</v>
      </c>
      <c r="J38" s="22">
        <v>27</v>
      </c>
      <c r="K38" s="29">
        <v>170.04</v>
      </c>
      <c r="L38" s="30">
        <f t="shared" si="0"/>
        <v>170.04</v>
      </c>
      <c r="M38" s="31">
        <f t="shared" si="1"/>
        <v>6.2977777777777773</v>
      </c>
    </row>
    <row r="39" spans="1:13" ht="22.5" customHeight="1" x14ac:dyDescent="0.35">
      <c r="A39" s="16" t="s">
        <v>105</v>
      </c>
      <c r="B39" s="16" t="str">
        <f t="array" ref="B39">_xlfn.XLOOKUP(A39,Trips[ID],Trips[Trip],"",0)</f>
        <v>SPS Sep 2026</v>
      </c>
      <c r="C39" s="16" t="s">
        <v>80</v>
      </c>
      <c r="D39" s="17">
        <v>46270</v>
      </c>
      <c r="E39" s="42" t="s">
        <v>81</v>
      </c>
      <c r="F39" s="16" t="s">
        <v>82</v>
      </c>
      <c r="G39" s="19" t="s">
        <v>9</v>
      </c>
      <c r="H39" s="20" t="s">
        <v>18</v>
      </c>
      <c r="I39" s="21" t="s">
        <v>39</v>
      </c>
      <c r="J39" s="22">
        <v>27</v>
      </c>
      <c r="K39" s="23">
        <v>135.97999999999999</v>
      </c>
      <c r="L39" s="22">
        <f t="shared" si="0"/>
        <v>135.97999999999999</v>
      </c>
      <c r="M39" s="24">
        <f t="shared" si="1"/>
        <v>5.036296296296296</v>
      </c>
    </row>
    <row r="40" spans="1:13" ht="22.5" customHeight="1" x14ac:dyDescent="0.35">
      <c r="A40" s="16" t="s">
        <v>105</v>
      </c>
      <c r="B40" s="25" t="str">
        <f t="array" ref="B40">_xlfn.XLOOKUP(A40,Trips[ID],Trips[Trip],"",0)</f>
        <v>SPS Sep 2026</v>
      </c>
      <c r="C40" s="25" t="s">
        <v>80</v>
      </c>
      <c r="D40" s="17">
        <v>46270</v>
      </c>
      <c r="E40" s="43" t="s">
        <v>81</v>
      </c>
      <c r="F40" s="25" t="s">
        <v>82</v>
      </c>
      <c r="G40" s="36" t="s">
        <v>9</v>
      </c>
      <c r="H40" s="20" t="s">
        <v>16</v>
      </c>
      <c r="I40" s="28" t="s">
        <v>39</v>
      </c>
      <c r="J40" s="22">
        <v>27</v>
      </c>
      <c r="K40" s="29">
        <v>92</v>
      </c>
      <c r="L40" s="30">
        <f t="shared" si="0"/>
        <v>92</v>
      </c>
      <c r="M40" s="31">
        <f t="shared" si="1"/>
        <v>3.4074074074074074</v>
      </c>
    </row>
    <row r="41" spans="1:13" ht="22.5" customHeight="1" x14ac:dyDescent="0.35">
      <c r="A41" s="16" t="s">
        <v>105</v>
      </c>
      <c r="B41" s="16" t="str">
        <f t="array" ref="B41">_xlfn.XLOOKUP(A41,Trips[ID],Trips[Trip],"",0)</f>
        <v>SPS Sep 2026</v>
      </c>
      <c r="C41" s="16" t="s">
        <v>80</v>
      </c>
      <c r="D41" s="17">
        <v>46270</v>
      </c>
      <c r="E41" s="42" t="s">
        <v>81</v>
      </c>
      <c r="F41" s="16" t="s">
        <v>82</v>
      </c>
      <c r="G41" s="19" t="s">
        <v>9</v>
      </c>
      <c r="H41" s="20" t="s">
        <v>18</v>
      </c>
      <c r="I41" s="21" t="s">
        <v>39</v>
      </c>
      <c r="J41" s="22">
        <v>27</v>
      </c>
      <c r="K41" s="23">
        <f>111.12-20</f>
        <v>91.12</v>
      </c>
      <c r="L41" s="22">
        <f t="shared" si="0"/>
        <v>91.12</v>
      </c>
      <c r="M41" s="24">
        <f t="shared" si="1"/>
        <v>3.3748148148148149</v>
      </c>
    </row>
    <row r="42" spans="1:13" ht="22.5" customHeight="1" x14ac:dyDescent="0.35">
      <c r="A42" s="16" t="s">
        <v>105</v>
      </c>
      <c r="B42" s="25" t="str">
        <f t="array" ref="B42">_xlfn.XLOOKUP(A42,Trips[ID],Trips[Trip],"",0)</f>
        <v>SPS Sep 2026</v>
      </c>
      <c r="C42" s="25" t="s">
        <v>83</v>
      </c>
      <c r="D42" s="17">
        <v>46271</v>
      </c>
      <c r="E42" s="26" t="s">
        <v>37</v>
      </c>
      <c r="F42" s="25" t="s">
        <v>84</v>
      </c>
      <c r="G42" s="39" t="s">
        <v>16</v>
      </c>
      <c r="H42" s="20" t="s">
        <v>16</v>
      </c>
      <c r="I42" s="28" t="s">
        <v>39</v>
      </c>
      <c r="J42" s="22">
        <v>27</v>
      </c>
      <c r="K42" s="29">
        <v>275</v>
      </c>
      <c r="L42" s="30">
        <f t="shared" si="0"/>
        <v>275</v>
      </c>
      <c r="M42" s="31">
        <f t="shared" si="1"/>
        <v>10.185185185185185</v>
      </c>
    </row>
    <row r="43" spans="1:13" ht="22.5" customHeight="1" x14ac:dyDescent="0.35">
      <c r="A43" s="16" t="s">
        <v>105</v>
      </c>
      <c r="B43" s="16" t="str">
        <f t="array" ref="B43">_xlfn.XLOOKUP(A43,Trips[ID],Trips[Trip],"",0)</f>
        <v>SPS Sep 2026</v>
      </c>
      <c r="C43" s="16" t="s">
        <v>83</v>
      </c>
      <c r="D43" s="17">
        <v>46271</v>
      </c>
      <c r="E43" s="32" t="s">
        <v>37</v>
      </c>
      <c r="F43" s="16" t="s">
        <v>85</v>
      </c>
      <c r="G43" s="32" t="s">
        <v>18</v>
      </c>
      <c r="H43" s="20" t="s">
        <v>16</v>
      </c>
      <c r="I43" s="21" t="s">
        <v>39</v>
      </c>
      <c r="J43" s="22">
        <v>27</v>
      </c>
      <c r="K43" s="23">
        <v>75</v>
      </c>
      <c r="L43" s="22">
        <f t="shared" si="0"/>
        <v>75</v>
      </c>
      <c r="M43" s="24">
        <f t="shared" si="1"/>
        <v>2.7777777777777777</v>
      </c>
    </row>
    <row r="44" spans="1:13" ht="22.5" customHeight="1" x14ac:dyDescent="0.35">
      <c r="A44" s="16" t="s">
        <v>105</v>
      </c>
      <c r="B44" s="25" t="str">
        <f t="array" ref="B44">_xlfn.XLOOKUP(A44,Trips[ID],Trips[Trip],"",0)</f>
        <v>SPS Sep 2026</v>
      </c>
      <c r="C44" s="25" t="s">
        <v>83</v>
      </c>
      <c r="D44" s="17">
        <v>46271</v>
      </c>
      <c r="E44" s="26" t="s">
        <v>37</v>
      </c>
      <c r="F44" s="25" t="s">
        <v>86</v>
      </c>
      <c r="G44" s="39" t="s">
        <v>16</v>
      </c>
      <c r="H44" s="20" t="s">
        <v>16</v>
      </c>
      <c r="I44" s="28" t="s">
        <v>39</v>
      </c>
      <c r="J44" s="22">
        <v>27</v>
      </c>
      <c r="K44" s="29">
        <v>75</v>
      </c>
      <c r="L44" s="30">
        <f t="shared" si="0"/>
        <v>75</v>
      </c>
      <c r="M44" s="31">
        <f t="shared" si="1"/>
        <v>2.7777777777777777</v>
      </c>
    </row>
    <row r="45" spans="1:13" ht="22.5" customHeight="1" x14ac:dyDescent="0.35">
      <c r="A45" s="16" t="s">
        <v>105</v>
      </c>
      <c r="B45" s="16" t="str">
        <f t="array" ref="B45">_xlfn.XLOOKUP(A45,Trips[ID],Trips[Trip],"",0)</f>
        <v>SPS Sep 2026</v>
      </c>
      <c r="C45" s="16" t="s">
        <v>83</v>
      </c>
      <c r="D45" s="17">
        <v>46271</v>
      </c>
      <c r="E45" s="32" t="s">
        <v>37</v>
      </c>
      <c r="F45" s="16" t="s">
        <v>87</v>
      </c>
      <c r="G45" s="32" t="s">
        <v>18</v>
      </c>
      <c r="H45" s="20" t="s">
        <v>16</v>
      </c>
      <c r="I45" s="21" t="s">
        <v>39</v>
      </c>
      <c r="J45" s="22">
        <v>27</v>
      </c>
      <c r="K45" s="23">
        <v>285</v>
      </c>
      <c r="L45" s="22">
        <f t="shared" si="0"/>
        <v>285</v>
      </c>
      <c r="M45" s="24">
        <f t="shared" si="1"/>
        <v>10.555555555555555</v>
      </c>
    </row>
    <row r="46" spans="1:13" ht="22.5" customHeight="1" x14ac:dyDescent="0.35">
      <c r="A46" s="16" t="s">
        <v>105</v>
      </c>
      <c r="B46" s="25" t="str">
        <f t="array" ref="B46">_xlfn.XLOOKUP(A46,Trips[ID],Trips[Trip],"",0)</f>
        <v>SPS Sep 2026</v>
      </c>
      <c r="C46" s="25" t="s">
        <v>83</v>
      </c>
      <c r="D46" s="17">
        <v>46271</v>
      </c>
      <c r="E46" s="26" t="s">
        <v>37</v>
      </c>
      <c r="F46" s="25" t="s">
        <v>88</v>
      </c>
      <c r="G46" s="27" t="s">
        <v>13</v>
      </c>
      <c r="H46" s="20" t="s">
        <v>16</v>
      </c>
      <c r="I46" s="28" t="s">
        <v>39</v>
      </c>
      <c r="J46" s="22">
        <v>27</v>
      </c>
      <c r="K46" s="29">
        <v>89</v>
      </c>
      <c r="L46" s="30">
        <f t="shared" si="0"/>
        <v>89</v>
      </c>
      <c r="M46" s="31">
        <f t="shared" si="1"/>
        <v>3.2962962962962963</v>
      </c>
    </row>
    <row r="47" spans="1:13" ht="22.5" customHeight="1" x14ac:dyDescent="0.35">
      <c r="A47" s="16" t="s">
        <v>105</v>
      </c>
      <c r="B47" s="16" t="str">
        <f t="array" ref="B47">_xlfn.XLOOKUP(A47,Trips[ID],Trips[Trip],"",0)</f>
        <v>SPS Sep 2026</v>
      </c>
      <c r="C47" s="16" t="s">
        <v>83</v>
      </c>
      <c r="D47" s="17">
        <v>46271</v>
      </c>
      <c r="E47" s="32" t="s">
        <v>37</v>
      </c>
      <c r="F47" s="16" t="s">
        <v>89</v>
      </c>
      <c r="G47" s="37" t="s">
        <v>13</v>
      </c>
      <c r="H47" s="20" t="s">
        <v>16</v>
      </c>
      <c r="I47" s="21" t="s">
        <v>39</v>
      </c>
      <c r="J47" s="22">
        <v>27</v>
      </c>
      <c r="K47" s="23">
        <v>89</v>
      </c>
      <c r="L47" s="22">
        <f t="shared" si="0"/>
        <v>89</v>
      </c>
      <c r="M47" s="24">
        <f t="shared" si="1"/>
        <v>3.2962962962962963</v>
      </c>
    </row>
    <row r="48" spans="1:13" ht="22.5" customHeight="1" x14ac:dyDescent="0.35">
      <c r="A48" s="16" t="s">
        <v>105</v>
      </c>
      <c r="B48" s="25" t="str">
        <f t="array" ref="B48">_xlfn.XLOOKUP(A48,Trips[ID],Trips[Trip],"",0)</f>
        <v>SPS Sep 2026</v>
      </c>
      <c r="C48" s="25" t="s">
        <v>83</v>
      </c>
      <c r="D48" s="17">
        <v>46271</v>
      </c>
      <c r="E48" s="26" t="s">
        <v>37</v>
      </c>
      <c r="F48" s="25" t="s">
        <v>90</v>
      </c>
      <c r="G48" s="27" t="s">
        <v>13</v>
      </c>
      <c r="H48" s="20" t="s">
        <v>16</v>
      </c>
      <c r="I48" s="28" t="s">
        <v>39</v>
      </c>
      <c r="J48" s="22">
        <v>27</v>
      </c>
      <c r="K48" s="29">
        <v>175</v>
      </c>
      <c r="L48" s="30">
        <f t="shared" si="0"/>
        <v>175</v>
      </c>
      <c r="M48" s="31">
        <f t="shared" si="1"/>
        <v>6.4814814814814818</v>
      </c>
    </row>
    <row r="49" spans="1:13" ht="22.5" customHeight="1" x14ac:dyDescent="0.35">
      <c r="A49" s="16" t="s">
        <v>105</v>
      </c>
      <c r="B49" s="16" t="str">
        <f t="array" ref="B49">_xlfn.XLOOKUP(A49,Trips[ID],Trips[Trip],"",0)</f>
        <v>SPS Sep 2026</v>
      </c>
      <c r="C49" s="16" t="s">
        <v>83</v>
      </c>
      <c r="D49" s="17">
        <v>46271</v>
      </c>
      <c r="E49" s="32" t="s">
        <v>37</v>
      </c>
      <c r="F49" s="16" t="s">
        <v>91</v>
      </c>
      <c r="G49" s="37" t="s">
        <v>13</v>
      </c>
      <c r="H49" s="20" t="s">
        <v>16</v>
      </c>
      <c r="I49" s="21" t="s">
        <v>39</v>
      </c>
      <c r="J49" s="22">
        <v>27</v>
      </c>
      <c r="K49" s="23">
        <v>45</v>
      </c>
      <c r="L49" s="22">
        <f t="shared" si="0"/>
        <v>45</v>
      </c>
      <c r="M49" s="24">
        <f t="shared" si="1"/>
        <v>1.6666666666666667</v>
      </c>
    </row>
    <row r="50" spans="1:13" ht="22.5" customHeight="1" x14ac:dyDescent="0.35">
      <c r="A50" s="16" t="s">
        <v>105</v>
      </c>
      <c r="B50" s="25" t="str">
        <f t="array" ref="B50">_xlfn.XLOOKUP(A50,Trips[ID],Trips[Trip],"",0)</f>
        <v>SPS Sep 2026</v>
      </c>
      <c r="C50" s="25" t="s">
        <v>83</v>
      </c>
      <c r="D50" s="17">
        <v>46271</v>
      </c>
      <c r="E50" s="26" t="s">
        <v>37</v>
      </c>
      <c r="F50" s="25" t="s">
        <v>92</v>
      </c>
      <c r="G50" s="34" t="s">
        <v>21</v>
      </c>
      <c r="H50" s="20" t="s">
        <v>16</v>
      </c>
      <c r="I50" s="28" t="s">
        <v>39</v>
      </c>
      <c r="J50" s="22">
        <v>27</v>
      </c>
      <c r="K50" s="29">
        <v>299</v>
      </c>
      <c r="L50" s="30">
        <f t="shared" si="0"/>
        <v>299</v>
      </c>
      <c r="M50" s="31">
        <f t="shared" si="1"/>
        <v>11.074074074074074</v>
      </c>
    </row>
    <row r="51" spans="1:13" ht="22.5" customHeight="1" x14ac:dyDescent="0.35">
      <c r="A51" s="16" t="s">
        <v>105</v>
      </c>
      <c r="B51" s="16" t="str">
        <f t="array" ref="B51">_xlfn.XLOOKUP(A51,Trips[ID],Trips[Trip],"",0)</f>
        <v>SPS Sep 2026</v>
      </c>
      <c r="C51" s="16" t="s">
        <v>83</v>
      </c>
      <c r="D51" s="17">
        <v>46271</v>
      </c>
      <c r="E51" s="32" t="s">
        <v>37</v>
      </c>
      <c r="F51" s="16" t="s">
        <v>93</v>
      </c>
      <c r="G51" s="35" t="s">
        <v>21</v>
      </c>
      <c r="H51" s="20" t="s">
        <v>16</v>
      </c>
      <c r="I51" s="21" t="s">
        <v>39</v>
      </c>
      <c r="J51" s="22">
        <v>27</v>
      </c>
      <c r="K51" s="23">
        <v>45</v>
      </c>
      <c r="L51" s="22">
        <f t="shared" si="0"/>
        <v>45</v>
      </c>
      <c r="M51" s="24">
        <f t="shared" si="1"/>
        <v>1.6666666666666667</v>
      </c>
    </row>
    <row r="52" spans="1:13" ht="22.5" customHeight="1" x14ac:dyDescent="0.35">
      <c r="A52" s="16" t="s">
        <v>105</v>
      </c>
      <c r="B52" s="25" t="str">
        <f t="array" ref="B52">_xlfn.XLOOKUP(A52,Trips[ID],Trips[Trip],"",0)</f>
        <v>SPS Sep 2026</v>
      </c>
      <c r="C52" s="25" t="s">
        <v>83</v>
      </c>
      <c r="D52" s="17">
        <v>46271</v>
      </c>
      <c r="E52" s="26" t="s">
        <v>37</v>
      </c>
      <c r="F52" s="25" t="s">
        <v>94</v>
      </c>
      <c r="G52" s="34" t="s">
        <v>21</v>
      </c>
      <c r="H52" s="20" t="s">
        <v>16</v>
      </c>
      <c r="I52" s="28" t="s">
        <v>39</v>
      </c>
      <c r="J52" s="22">
        <v>27</v>
      </c>
      <c r="K52" s="29">
        <v>5</v>
      </c>
      <c r="L52" s="30">
        <f t="shared" si="0"/>
        <v>5</v>
      </c>
      <c r="M52" s="31">
        <f t="shared" si="1"/>
        <v>0.18518518518518517</v>
      </c>
    </row>
    <row r="53" spans="1:13" ht="22.5" customHeight="1" x14ac:dyDescent="0.35">
      <c r="A53" s="16" t="s">
        <v>105</v>
      </c>
      <c r="B53" s="16" t="str">
        <f t="array" ref="B53">_xlfn.XLOOKUP(A53,Trips[ID],Trips[Trip],"",0)</f>
        <v>SPS Sep 2026</v>
      </c>
      <c r="C53" s="16" t="s">
        <v>95</v>
      </c>
      <c r="D53" s="17">
        <v>46271</v>
      </c>
      <c r="E53" s="32" t="s">
        <v>37</v>
      </c>
      <c r="F53" s="16" t="s">
        <v>96</v>
      </c>
      <c r="G53" s="37" t="s">
        <v>13</v>
      </c>
      <c r="H53" s="20" t="s">
        <v>16</v>
      </c>
      <c r="I53" s="21" t="s">
        <v>39</v>
      </c>
      <c r="J53" s="22">
        <v>27</v>
      </c>
      <c r="K53" s="23">
        <v>116</v>
      </c>
      <c r="L53" s="22">
        <f t="shared" si="0"/>
        <v>116</v>
      </c>
      <c r="M53" s="24">
        <f t="shared" si="1"/>
        <v>4.2962962962962967</v>
      </c>
    </row>
    <row r="54" spans="1:13" ht="22.5" customHeight="1" x14ac:dyDescent="0.35">
      <c r="A54" s="16" t="s">
        <v>105</v>
      </c>
      <c r="B54" s="25" t="str">
        <f t="array" ref="B54">_xlfn.XLOOKUP(A54,Trips[ID],Trips[Trip],"",0)</f>
        <v>SPS Sep 2026</v>
      </c>
      <c r="C54" s="25" t="s">
        <v>95</v>
      </c>
      <c r="D54" s="17">
        <v>46271</v>
      </c>
      <c r="E54" s="26" t="s">
        <v>37</v>
      </c>
      <c r="F54" s="25" t="s">
        <v>97</v>
      </c>
      <c r="G54" s="34" t="s">
        <v>21</v>
      </c>
      <c r="H54" s="20" t="s">
        <v>16</v>
      </c>
      <c r="I54" s="28" t="s">
        <v>39</v>
      </c>
      <c r="J54" s="22">
        <v>27</v>
      </c>
      <c r="K54" s="29">
        <v>137</v>
      </c>
      <c r="L54" s="30">
        <f t="shared" si="0"/>
        <v>137</v>
      </c>
      <c r="M54" s="31">
        <f t="shared" si="1"/>
        <v>5.0740740740740744</v>
      </c>
    </row>
    <row r="55" spans="1:13" ht="22.5" customHeight="1" x14ac:dyDescent="0.35">
      <c r="A55" s="16" t="s">
        <v>105</v>
      </c>
      <c r="B55" s="16" t="str">
        <f t="array" ref="B55">_xlfn.XLOOKUP(A55,Trips[ID],Trips[Trip],"",0)</f>
        <v>SPS Sep 2026</v>
      </c>
      <c r="C55" s="16" t="s">
        <v>95</v>
      </c>
      <c r="D55" s="17">
        <v>46271</v>
      </c>
      <c r="E55" s="32" t="s">
        <v>37</v>
      </c>
      <c r="F55" s="16" t="s">
        <v>98</v>
      </c>
      <c r="G55" s="33" t="s">
        <v>16</v>
      </c>
      <c r="H55" s="20" t="s">
        <v>16</v>
      </c>
      <c r="I55" s="21" t="s">
        <v>39</v>
      </c>
      <c r="J55" s="22">
        <v>27</v>
      </c>
      <c r="K55" s="23">
        <v>151</v>
      </c>
      <c r="L55" s="22">
        <f t="shared" si="0"/>
        <v>151</v>
      </c>
      <c r="M55" s="24">
        <f t="shared" si="1"/>
        <v>5.5925925925925926</v>
      </c>
    </row>
    <row r="56" spans="1:13" ht="22.5" customHeight="1" x14ac:dyDescent="0.35">
      <c r="A56" s="16" t="s">
        <v>105</v>
      </c>
      <c r="B56" s="25" t="str">
        <f t="array" ref="B56">_xlfn.XLOOKUP(A56,Trips[ID],Trips[Trip],"",0)</f>
        <v>SPS Sep 2026</v>
      </c>
      <c r="C56" s="25" t="s">
        <v>95</v>
      </c>
      <c r="D56" s="17">
        <v>46271</v>
      </c>
      <c r="E56" s="26" t="s">
        <v>37</v>
      </c>
      <c r="F56" s="25" t="s">
        <v>99</v>
      </c>
      <c r="G56" s="26" t="s">
        <v>18</v>
      </c>
      <c r="H56" s="20" t="s">
        <v>16</v>
      </c>
      <c r="I56" s="28" t="s">
        <v>39</v>
      </c>
      <c r="J56" s="22">
        <v>27</v>
      </c>
      <c r="K56" s="29">
        <v>130</v>
      </c>
      <c r="L56" s="30">
        <f t="shared" si="0"/>
        <v>130</v>
      </c>
      <c r="M56" s="31">
        <f t="shared" si="1"/>
        <v>4.8148148148148149</v>
      </c>
    </row>
    <row r="57" spans="1:13" ht="22.5" customHeight="1" x14ac:dyDescent="0.35">
      <c r="A57" s="16" t="s">
        <v>105</v>
      </c>
      <c r="B57" s="16" t="str">
        <f t="array" ref="B57">_xlfn.XLOOKUP(A57,Trips[ID],Trips[Trip],"",0)</f>
        <v>SPS Sep 2026</v>
      </c>
      <c r="C57" s="16" t="s">
        <v>100</v>
      </c>
      <c r="D57" s="17">
        <v>46271</v>
      </c>
      <c r="E57" s="32" t="s">
        <v>37</v>
      </c>
      <c r="F57" s="16" t="s">
        <v>101</v>
      </c>
      <c r="G57" s="19" t="s">
        <v>9</v>
      </c>
      <c r="H57" s="20" t="s">
        <v>16</v>
      </c>
      <c r="I57" s="21" t="s">
        <v>39</v>
      </c>
      <c r="J57" s="22">
        <v>27</v>
      </c>
      <c r="K57" s="23">
        <v>285</v>
      </c>
      <c r="L57" s="22">
        <f t="shared" si="0"/>
        <v>285</v>
      </c>
      <c r="M57" s="24">
        <f t="shared" si="1"/>
        <v>10.555555555555555</v>
      </c>
    </row>
    <row r="58" spans="1:13" ht="22.5" customHeight="1" x14ac:dyDescent="0.35">
      <c r="A58" s="16" t="s">
        <v>105</v>
      </c>
      <c r="B58" s="25" t="str">
        <f t="array" ref="B58">_xlfn.XLOOKUP(A58,Trips[ID],Trips[Trip],"",0)</f>
        <v>SPS Sep 2026</v>
      </c>
      <c r="C58" s="25" t="s">
        <v>102</v>
      </c>
      <c r="D58" s="17">
        <v>46271</v>
      </c>
      <c r="E58" s="26" t="s">
        <v>37</v>
      </c>
      <c r="F58" s="25" t="s">
        <v>103</v>
      </c>
      <c r="G58" s="36" t="s">
        <v>9</v>
      </c>
      <c r="H58" s="20" t="s">
        <v>16</v>
      </c>
      <c r="I58" s="28" t="s">
        <v>39</v>
      </c>
      <c r="J58" s="22">
        <v>27</v>
      </c>
      <c r="K58" s="29">
        <v>1800</v>
      </c>
      <c r="L58" s="30">
        <f t="shared" si="0"/>
        <v>1800</v>
      </c>
      <c r="M58" s="31">
        <f t="shared" si="1"/>
        <v>66.666666666666671</v>
      </c>
    </row>
    <row r="59" spans="1:13" ht="22.5" customHeight="1" x14ac:dyDescent="0.35">
      <c r="A59" s="16" t="s">
        <v>105</v>
      </c>
      <c r="B59" s="16" t="str">
        <f t="array" ref="B59">_xlfn.XLOOKUP(A59,Trips[ID],Trips[Trip],"",0)</f>
        <v>SPS Sep 2026</v>
      </c>
      <c r="C59" s="16" t="s">
        <v>102</v>
      </c>
      <c r="D59" s="17">
        <v>46271</v>
      </c>
      <c r="E59" s="32" t="s">
        <v>37</v>
      </c>
      <c r="F59" s="16" t="s">
        <v>104</v>
      </c>
      <c r="G59" s="19" t="s">
        <v>9</v>
      </c>
      <c r="H59" s="20" t="s">
        <v>16</v>
      </c>
      <c r="I59" s="21" t="s">
        <v>39</v>
      </c>
      <c r="J59" s="22">
        <v>27</v>
      </c>
      <c r="K59" s="23">
        <v>823</v>
      </c>
      <c r="L59" s="22">
        <f t="shared" si="0"/>
        <v>823</v>
      </c>
      <c r="M59" s="24">
        <f t="shared" si="1"/>
        <v>30.481481481481481</v>
      </c>
    </row>
    <row r="60" spans="1:13" ht="13.15" x14ac:dyDescent="0.4">
      <c r="A60" s="46" t="s">
        <v>8</v>
      </c>
      <c r="B60" s="16" t="str">
        <f t="array" ref="B60">_xlfn.XLOOKUP(A60,Trips[ID],Trips[Trip],"",0)</f>
        <v>ESV Shakira 2026</v>
      </c>
      <c r="C60" s="47" t="s">
        <v>108</v>
      </c>
      <c r="D60" s="49">
        <v>46059</v>
      </c>
      <c r="E60" s="52" t="s">
        <v>108</v>
      </c>
      <c r="F60" s="47" t="s">
        <v>103</v>
      </c>
      <c r="G60" s="64" t="s">
        <v>9</v>
      </c>
      <c r="H60" s="20" t="s">
        <v>16</v>
      </c>
      <c r="I60" s="47" t="s">
        <v>39</v>
      </c>
      <c r="J60" s="70">
        <v>26.42</v>
      </c>
      <c r="K60" s="71">
        <v>752.93</v>
      </c>
      <c r="L60" s="22">
        <f t="shared" si="0"/>
        <v>752.93</v>
      </c>
      <c r="M60" s="24">
        <f t="shared" si="1"/>
        <v>28.498485995457983</v>
      </c>
    </row>
    <row r="61" spans="1:13" ht="13.15" x14ac:dyDescent="0.4">
      <c r="A61" s="46" t="s">
        <v>8</v>
      </c>
      <c r="B61" s="16" t="str">
        <f t="array" ref="B61">_xlfn.XLOOKUP(A61,Trips[ID],Trips[Trip],"",0)</f>
        <v>ESV Shakira 2026</v>
      </c>
      <c r="C61" s="48" t="s">
        <v>109</v>
      </c>
      <c r="D61" s="49">
        <v>46059</v>
      </c>
      <c r="E61" s="53" t="s">
        <v>37</v>
      </c>
      <c r="F61" s="48" t="s">
        <v>126</v>
      </c>
      <c r="G61" s="65" t="s">
        <v>13</v>
      </c>
      <c r="H61" s="20" t="s">
        <v>16</v>
      </c>
      <c r="I61" s="48" t="s">
        <v>35</v>
      </c>
      <c r="J61" s="70">
        <v>26.42</v>
      </c>
      <c r="K61" s="72">
        <v>6.65</v>
      </c>
      <c r="L61" s="22">
        <f t="shared" si="0"/>
        <v>175.69300000000001</v>
      </c>
      <c r="M61" s="24">
        <f t="shared" si="1"/>
        <v>6.65</v>
      </c>
    </row>
    <row r="62" spans="1:13" ht="13.15" x14ac:dyDescent="0.4">
      <c r="A62" s="46" t="s">
        <v>8</v>
      </c>
      <c r="B62" s="16" t="str">
        <f t="array" ref="B62">_xlfn.XLOOKUP(A62,Trips[ID],Trips[Trip],"",0)</f>
        <v>ESV Shakira 2026</v>
      </c>
      <c r="C62" s="47" t="s">
        <v>109</v>
      </c>
      <c r="D62" s="49">
        <v>46059</v>
      </c>
      <c r="E62" s="54" t="s">
        <v>37</v>
      </c>
      <c r="F62" s="47" t="s">
        <v>127</v>
      </c>
      <c r="G62" s="59" t="s">
        <v>24</v>
      </c>
      <c r="H62" s="20" t="s">
        <v>16</v>
      </c>
      <c r="I62" s="47" t="s">
        <v>35</v>
      </c>
      <c r="J62" s="70">
        <v>26.42</v>
      </c>
      <c r="K62" s="71">
        <v>2.65</v>
      </c>
      <c r="L62" s="22">
        <f t="shared" si="0"/>
        <v>70.013000000000005</v>
      </c>
      <c r="M62" s="24">
        <f t="shared" si="1"/>
        <v>2.65</v>
      </c>
    </row>
    <row r="63" spans="1:13" ht="13.15" x14ac:dyDescent="0.4">
      <c r="A63" s="46" t="s">
        <v>8</v>
      </c>
      <c r="B63" s="16" t="str">
        <f t="array" ref="B63">_xlfn.XLOOKUP(A63,Trips[ID],Trips[Trip],"",0)</f>
        <v>ESV Shakira 2026</v>
      </c>
      <c r="C63" s="48" t="s">
        <v>109</v>
      </c>
      <c r="D63" s="49">
        <v>46059</v>
      </c>
      <c r="E63" s="53" t="s">
        <v>37</v>
      </c>
      <c r="F63" s="48" t="s">
        <v>126</v>
      </c>
      <c r="G63" s="53" t="s">
        <v>18</v>
      </c>
      <c r="H63" s="20" t="s">
        <v>16</v>
      </c>
      <c r="I63" s="48" t="s">
        <v>35</v>
      </c>
      <c r="J63" s="70">
        <v>26.42</v>
      </c>
      <c r="K63" s="72">
        <v>6.65</v>
      </c>
      <c r="L63" s="22">
        <f t="shared" si="0"/>
        <v>175.69300000000001</v>
      </c>
      <c r="M63" s="24">
        <f t="shared" si="1"/>
        <v>6.65</v>
      </c>
    </row>
    <row r="64" spans="1:13" ht="13.15" x14ac:dyDescent="0.4">
      <c r="A64" s="46" t="s">
        <v>8</v>
      </c>
      <c r="B64" s="16" t="str">
        <f t="array" ref="B64">_xlfn.XLOOKUP(A64,Trips[ID],Trips[Trip],"",0)</f>
        <v>ESV Shakira 2026</v>
      </c>
      <c r="C64" s="47" t="s">
        <v>109</v>
      </c>
      <c r="D64" s="49">
        <v>46059</v>
      </c>
      <c r="E64" s="54" t="s">
        <v>37</v>
      </c>
      <c r="F64" s="47" t="s">
        <v>128</v>
      </c>
      <c r="G64" s="56" t="s">
        <v>16</v>
      </c>
      <c r="H64" s="20" t="s">
        <v>16</v>
      </c>
      <c r="I64" s="47" t="s">
        <v>35</v>
      </c>
      <c r="J64" s="70">
        <v>26.42</v>
      </c>
      <c r="K64" s="71">
        <v>8.1</v>
      </c>
      <c r="L64" s="22">
        <f t="shared" si="0"/>
        <v>214.00200000000001</v>
      </c>
      <c r="M64" s="24">
        <f t="shared" si="1"/>
        <v>8.1</v>
      </c>
    </row>
    <row r="65" spans="1:13" ht="13.15" x14ac:dyDescent="0.4">
      <c r="A65" s="46" t="s">
        <v>8</v>
      </c>
      <c r="B65" s="16" t="str">
        <f t="array" ref="B65">_xlfn.XLOOKUP(A65,Trips[ID],Trips[Trip],"",0)</f>
        <v>ESV Shakira 2026</v>
      </c>
      <c r="C65" s="48" t="s">
        <v>109</v>
      </c>
      <c r="D65" s="49">
        <v>46059</v>
      </c>
      <c r="E65" s="53" t="s">
        <v>37</v>
      </c>
      <c r="F65" s="48" t="s">
        <v>129</v>
      </c>
      <c r="G65" s="55" t="s">
        <v>16</v>
      </c>
      <c r="H65" s="20" t="s">
        <v>16</v>
      </c>
      <c r="I65" s="48" t="s">
        <v>35</v>
      </c>
      <c r="J65" s="70">
        <v>26.42</v>
      </c>
      <c r="K65" s="72">
        <v>0.99</v>
      </c>
      <c r="L65" s="22">
        <f t="shared" si="0"/>
        <v>26.155800000000003</v>
      </c>
      <c r="M65" s="24">
        <f t="shared" si="1"/>
        <v>0.99</v>
      </c>
    </row>
    <row r="66" spans="1:13" ht="13.15" x14ac:dyDescent="0.4">
      <c r="A66" s="46" t="s">
        <v>8</v>
      </c>
      <c r="B66" s="16" t="str">
        <f t="array" ref="B66">_xlfn.XLOOKUP(A66,Trips[ID],Trips[Trip],"",0)</f>
        <v>ESV Shakira 2026</v>
      </c>
      <c r="C66" s="47" t="s">
        <v>109</v>
      </c>
      <c r="D66" s="49">
        <v>46059</v>
      </c>
      <c r="E66" s="54" t="s">
        <v>37</v>
      </c>
      <c r="F66" s="47" t="s">
        <v>130</v>
      </c>
      <c r="G66" s="56" t="s">
        <v>16</v>
      </c>
      <c r="H66" s="20" t="s">
        <v>16</v>
      </c>
      <c r="I66" s="47" t="s">
        <v>35</v>
      </c>
      <c r="J66" s="70">
        <v>26.42</v>
      </c>
      <c r="K66" s="71">
        <v>0.99</v>
      </c>
      <c r="L66" s="22">
        <f t="shared" si="0"/>
        <v>26.155800000000003</v>
      </c>
      <c r="M66" s="24">
        <f t="shared" si="1"/>
        <v>0.99</v>
      </c>
    </row>
    <row r="67" spans="1:13" ht="13.15" x14ac:dyDescent="0.4">
      <c r="A67" s="46" t="s">
        <v>8</v>
      </c>
      <c r="B67" s="16" t="str">
        <f t="array" ref="B67">_xlfn.XLOOKUP(A67,Trips[ID],Trips[Trip],"",0)</f>
        <v>ESV Shakira 2026</v>
      </c>
      <c r="C67" s="48" t="s">
        <v>109</v>
      </c>
      <c r="D67" s="50">
        <v>46059</v>
      </c>
      <c r="E67" s="53" t="s">
        <v>37</v>
      </c>
      <c r="F67" s="48" t="s">
        <v>131</v>
      </c>
      <c r="G67" s="66" t="s">
        <v>21</v>
      </c>
      <c r="H67" s="20" t="s">
        <v>16</v>
      </c>
      <c r="I67" s="48" t="s">
        <v>35</v>
      </c>
      <c r="J67" s="70">
        <v>26.42</v>
      </c>
      <c r="K67" s="72">
        <v>6.99</v>
      </c>
      <c r="L67" s="22">
        <f t="shared" ref="L67:L130" si="2">IF(I67="$", J67, 1) * K67</f>
        <v>184.67580000000001</v>
      </c>
      <c r="M67" s="24">
        <f t="shared" ref="M67:M130" si="3">K67 / IF(I67="$", 1, J67)</f>
        <v>6.99</v>
      </c>
    </row>
    <row r="68" spans="1:13" ht="13.15" x14ac:dyDescent="0.4">
      <c r="A68" s="46" t="s">
        <v>8</v>
      </c>
      <c r="B68" s="16" t="str">
        <f t="array" ref="B68">_xlfn.XLOOKUP(A68,Trips[ID],Trips[Trip],"",0)</f>
        <v>ESV Shakira 2026</v>
      </c>
      <c r="C68" s="47" t="s">
        <v>109</v>
      </c>
      <c r="D68" s="51">
        <v>46059</v>
      </c>
      <c r="E68" s="54" t="s">
        <v>37</v>
      </c>
      <c r="F68" s="47" t="s">
        <v>132</v>
      </c>
      <c r="G68" s="67" t="s">
        <v>21</v>
      </c>
      <c r="H68" s="20" t="s">
        <v>16</v>
      </c>
      <c r="I68" s="47" t="s">
        <v>35</v>
      </c>
      <c r="J68" s="70">
        <v>26.42</v>
      </c>
      <c r="K68" s="71">
        <v>0.5</v>
      </c>
      <c r="L68" s="22">
        <f t="shared" si="2"/>
        <v>13.21</v>
      </c>
      <c r="M68" s="24">
        <f t="shared" si="3"/>
        <v>0.5</v>
      </c>
    </row>
    <row r="69" spans="1:13" ht="13.15" x14ac:dyDescent="0.4">
      <c r="A69" s="46" t="s">
        <v>8</v>
      </c>
      <c r="B69" s="16" t="str">
        <f t="array" ref="B69">_xlfn.XLOOKUP(A69,Trips[ID],Trips[Trip],"",0)</f>
        <v>ESV Shakira 2026</v>
      </c>
      <c r="C69" s="48" t="s">
        <v>110</v>
      </c>
      <c r="D69" s="50">
        <v>46059</v>
      </c>
      <c r="E69" s="55" t="s">
        <v>124</v>
      </c>
      <c r="F69" s="48" t="s">
        <v>133</v>
      </c>
      <c r="G69" s="61" t="s">
        <v>24</v>
      </c>
      <c r="H69" s="20" t="s">
        <v>16</v>
      </c>
      <c r="I69" s="48" t="s">
        <v>35</v>
      </c>
      <c r="J69" s="70">
        <v>26.42</v>
      </c>
      <c r="K69" s="72">
        <v>0.8</v>
      </c>
      <c r="L69" s="22">
        <f t="shared" si="2"/>
        <v>21.136000000000003</v>
      </c>
      <c r="M69" s="24">
        <f t="shared" si="3"/>
        <v>0.8</v>
      </c>
    </row>
    <row r="70" spans="1:13" ht="13.15" x14ac:dyDescent="0.4">
      <c r="A70" s="46" t="s">
        <v>8</v>
      </c>
      <c r="B70" s="16" t="str">
        <f t="array" ref="B70">_xlfn.XLOOKUP(A70,Trips[ID],Trips[Trip],"",0)</f>
        <v>ESV Shakira 2026</v>
      </c>
      <c r="C70" s="47" t="s">
        <v>110</v>
      </c>
      <c r="D70" s="51">
        <v>46059</v>
      </c>
      <c r="E70" s="56" t="s">
        <v>124</v>
      </c>
      <c r="F70" s="47" t="s">
        <v>134</v>
      </c>
      <c r="G70" s="59" t="s">
        <v>24</v>
      </c>
      <c r="H70" s="20" t="s">
        <v>16</v>
      </c>
      <c r="I70" s="47" t="s">
        <v>35</v>
      </c>
      <c r="J70" s="70">
        <v>26.42</v>
      </c>
      <c r="K70" s="71">
        <v>0.8</v>
      </c>
      <c r="L70" s="22">
        <f t="shared" si="2"/>
        <v>21.136000000000003</v>
      </c>
      <c r="M70" s="24">
        <f t="shared" si="3"/>
        <v>0.8</v>
      </c>
    </row>
    <row r="71" spans="1:13" ht="13.15" x14ac:dyDescent="0.4">
      <c r="A71" s="46" t="s">
        <v>8</v>
      </c>
      <c r="B71" s="16" t="str">
        <f t="array" ref="B71">_xlfn.XLOOKUP(A71,Trips[ID],Trips[Trip],"",0)</f>
        <v>ESV Shakira 2026</v>
      </c>
      <c r="C71" s="48" t="s">
        <v>111</v>
      </c>
      <c r="D71" s="50">
        <v>46059</v>
      </c>
      <c r="E71" s="53" t="s">
        <v>46</v>
      </c>
      <c r="F71" s="48" t="s">
        <v>135</v>
      </c>
      <c r="G71" s="68" t="s">
        <v>9</v>
      </c>
      <c r="H71" s="20" t="s">
        <v>16</v>
      </c>
      <c r="I71" s="48" t="s">
        <v>35</v>
      </c>
      <c r="J71" s="70">
        <v>26.42</v>
      </c>
      <c r="K71" s="72">
        <v>1.88</v>
      </c>
      <c r="L71" s="22">
        <f t="shared" si="2"/>
        <v>49.669600000000003</v>
      </c>
      <c r="M71" s="24">
        <f t="shared" si="3"/>
        <v>1.88</v>
      </c>
    </row>
    <row r="72" spans="1:13" ht="13.15" x14ac:dyDescent="0.4">
      <c r="A72" s="46" t="s">
        <v>8</v>
      </c>
      <c r="B72" s="16" t="str">
        <f t="array" ref="B72">_xlfn.XLOOKUP(A72,Trips[ID],Trips[Trip],"",0)</f>
        <v>ESV Shakira 2026</v>
      </c>
      <c r="C72" s="47" t="s">
        <v>111</v>
      </c>
      <c r="D72" s="51">
        <v>46059</v>
      </c>
      <c r="E72" s="54" t="s">
        <v>46</v>
      </c>
      <c r="F72" s="47" t="s">
        <v>136</v>
      </c>
      <c r="G72" s="64" t="s">
        <v>9</v>
      </c>
      <c r="H72" s="20" t="s">
        <v>16</v>
      </c>
      <c r="I72" s="47" t="s">
        <v>35</v>
      </c>
      <c r="J72" s="70">
        <v>26.42</v>
      </c>
      <c r="K72" s="71">
        <v>1.3</v>
      </c>
      <c r="L72" s="22">
        <f t="shared" si="2"/>
        <v>34.346000000000004</v>
      </c>
      <c r="M72" s="24">
        <f t="shared" si="3"/>
        <v>1.3</v>
      </c>
    </row>
    <row r="73" spans="1:13" ht="13.15" x14ac:dyDescent="0.4">
      <c r="A73" s="46" t="s">
        <v>8</v>
      </c>
      <c r="B73" s="16" t="str">
        <f t="array" ref="B73">_xlfn.XLOOKUP(A73,Trips[ID],Trips[Trip],"",0)</f>
        <v>ESV Shakira 2026</v>
      </c>
      <c r="C73" s="48" t="s">
        <v>111</v>
      </c>
      <c r="D73" s="50">
        <v>46059</v>
      </c>
      <c r="E73" s="53" t="s">
        <v>46</v>
      </c>
      <c r="F73" s="48" t="s">
        <v>137</v>
      </c>
      <c r="G73" s="68" t="s">
        <v>9</v>
      </c>
      <c r="H73" s="20" t="s">
        <v>16</v>
      </c>
      <c r="I73" s="48" t="s">
        <v>35</v>
      </c>
      <c r="J73" s="70">
        <v>26.42</v>
      </c>
      <c r="K73" s="72">
        <v>1</v>
      </c>
      <c r="L73" s="22">
        <f t="shared" si="2"/>
        <v>26.42</v>
      </c>
      <c r="M73" s="24">
        <f t="shared" si="3"/>
        <v>1</v>
      </c>
    </row>
    <row r="74" spans="1:13" ht="13.15" x14ac:dyDescent="0.4">
      <c r="A74" s="46" t="s">
        <v>8</v>
      </c>
      <c r="B74" s="16" t="str">
        <f t="array" ref="B74">_xlfn.XLOOKUP(A74,Trips[ID],Trips[Trip],"",0)</f>
        <v>ESV Shakira 2026</v>
      </c>
      <c r="C74" s="47" t="s">
        <v>111</v>
      </c>
      <c r="D74" s="51">
        <v>46059</v>
      </c>
      <c r="E74" s="54" t="s">
        <v>46</v>
      </c>
      <c r="F74" s="47" t="s">
        <v>138</v>
      </c>
      <c r="G74" s="64" t="s">
        <v>9</v>
      </c>
      <c r="H74" s="20" t="s">
        <v>16</v>
      </c>
      <c r="I74" s="47" t="s">
        <v>35</v>
      </c>
      <c r="J74" s="70">
        <v>26.42</v>
      </c>
      <c r="K74" s="71">
        <v>2.5</v>
      </c>
      <c r="L74" s="22">
        <f t="shared" si="2"/>
        <v>66.050000000000011</v>
      </c>
      <c r="M74" s="24">
        <f t="shared" si="3"/>
        <v>2.5</v>
      </c>
    </row>
    <row r="75" spans="1:13" ht="13.15" x14ac:dyDescent="0.4">
      <c r="A75" s="46" t="s">
        <v>8</v>
      </c>
      <c r="B75" s="16" t="str">
        <f t="array" ref="B75">_xlfn.XLOOKUP(A75,Trips[ID],Trips[Trip],"",0)</f>
        <v>ESV Shakira 2026</v>
      </c>
      <c r="C75" s="48" t="s">
        <v>111</v>
      </c>
      <c r="D75" s="50">
        <v>46059</v>
      </c>
      <c r="E75" s="53" t="s">
        <v>46</v>
      </c>
      <c r="F75" s="48" t="s">
        <v>139</v>
      </c>
      <c r="G75" s="68" t="s">
        <v>9</v>
      </c>
      <c r="H75" s="20" t="s">
        <v>16</v>
      </c>
      <c r="I75" s="48" t="s">
        <v>35</v>
      </c>
      <c r="J75" s="70">
        <v>26.42</v>
      </c>
      <c r="K75" s="72">
        <v>3.63</v>
      </c>
      <c r="L75" s="22">
        <f t="shared" si="2"/>
        <v>95.904600000000002</v>
      </c>
      <c r="M75" s="24">
        <f t="shared" si="3"/>
        <v>3.63</v>
      </c>
    </row>
    <row r="76" spans="1:13" ht="13.15" x14ac:dyDescent="0.4">
      <c r="A76" s="46" t="s">
        <v>8</v>
      </c>
      <c r="B76" s="16" t="str">
        <f t="array" ref="B76">_xlfn.XLOOKUP(A76,Trips[ID],Trips[Trip],"",0)</f>
        <v>ESV Shakira 2026</v>
      </c>
      <c r="C76" s="47" t="s">
        <v>111</v>
      </c>
      <c r="D76" s="51">
        <v>46059</v>
      </c>
      <c r="E76" s="54" t="s">
        <v>46</v>
      </c>
      <c r="F76" s="47" t="s">
        <v>140</v>
      </c>
      <c r="G76" s="64" t="s">
        <v>9</v>
      </c>
      <c r="H76" s="20" t="s">
        <v>16</v>
      </c>
      <c r="I76" s="47" t="s">
        <v>35</v>
      </c>
      <c r="J76" s="70">
        <v>26.42</v>
      </c>
      <c r="K76" s="71">
        <v>1.73</v>
      </c>
      <c r="L76" s="22">
        <f t="shared" si="2"/>
        <v>45.706600000000002</v>
      </c>
      <c r="M76" s="24">
        <f t="shared" si="3"/>
        <v>1.73</v>
      </c>
    </row>
    <row r="77" spans="1:13" ht="13.15" x14ac:dyDescent="0.4">
      <c r="A77" s="46" t="s">
        <v>8</v>
      </c>
      <c r="B77" s="16" t="str">
        <f t="array" ref="B77">_xlfn.XLOOKUP(A77,Trips[ID],Trips[Trip],"",0)</f>
        <v>ESV Shakira 2026</v>
      </c>
      <c r="C77" s="48" t="s">
        <v>111</v>
      </c>
      <c r="D77" s="50">
        <v>46059</v>
      </c>
      <c r="E77" s="53" t="s">
        <v>46</v>
      </c>
      <c r="F77" s="48" t="s">
        <v>141</v>
      </c>
      <c r="G77" s="68" t="s">
        <v>9</v>
      </c>
      <c r="H77" s="20" t="s">
        <v>16</v>
      </c>
      <c r="I77" s="48" t="s">
        <v>35</v>
      </c>
      <c r="J77" s="70">
        <v>26.42</v>
      </c>
      <c r="K77" s="72">
        <v>1.1200000000000001</v>
      </c>
      <c r="L77" s="22">
        <f t="shared" si="2"/>
        <v>29.590400000000006</v>
      </c>
      <c r="M77" s="24">
        <f t="shared" si="3"/>
        <v>1.1200000000000001</v>
      </c>
    </row>
    <row r="78" spans="1:13" ht="13.15" x14ac:dyDescent="0.4">
      <c r="A78" s="46" t="s">
        <v>8</v>
      </c>
      <c r="B78" s="16" t="str">
        <f t="array" ref="B78">_xlfn.XLOOKUP(A78,Trips[ID],Trips[Trip],"",0)</f>
        <v>ESV Shakira 2026</v>
      </c>
      <c r="C78" s="47" t="s">
        <v>111</v>
      </c>
      <c r="D78" s="51">
        <v>46059</v>
      </c>
      <c r="E78" s="54" t="s">
        <v>46</v>
      </c>
      <c r="F78" s="47" t="s">
        <v>142</v>
      </c>
      <c r="G78" s="69" t="s">
        <v>13</v>
      </c>
      <c r="H78" s="20" t="s">
        <v>16</v>
      </c>
      <c r="I78" s="47" t="s">
        <v>35</v>
      </c>
      <c r="J78" s="70">
        <v>26.42</v>
      </c>
      <c r="K78" s="71">
        <v>7.55</v>
      </c>
      <c r="L78" s="22">
        <f t="shared" si="2"/>
        <v>199.471</v>
      </c>
      <c r="M78" s="24">
        <f t="shared" si="3"/>
        <v>7.55</v>
      </c>
    </row>
    <row r="79" spans="1:13" ht="13.15" x14ac:dyDescent="0.4">
      <c r="A79" s="46" t="s">
        <v>8</v>
      </c>
      <c r="B79" s="16" t="str">
        <f t="array" ref="B79">_xlfn.XLOOKUP(A79,Trips[ID],Trips[Trip],"",0)</f>
        <v>ESV Shakira 2026</v>
      </c>
      <c r="C79" s="48" t="s">
        <v>111</v>
      </c>
      <c r="D79" s="50">
        <v>46059</v>
      </c>
      <c r="E79" s="53" t="s">
        <v>46</v>
      </c>
      <c r="F79" s="48" t="s">
        <v>143</v>
      </c>
      <c r="G79" s="66" t="s">
        <v>21</v>
      </c>
      <c r="H79" s="20" t="s">
        <v>16</v>
      </c>
      <c r="I79" s="48" t="s">
        <v>35</v>
      </c>
      <c r="J79" s="70">
        <v>26.42</v>
      </c>
      <c r="K79" s="72">
        <v>1.99</v>
      </c>
      <c r="L79" s="22">
        <f t="shared" si="2"/>
        <v>52.575800000000001</v>
      </c>
      <c r="M79" s="24">
        <f t="shared" si="3"/>
        <v>1.99</v>
      </c>
    </row>
    <row r="80" spans="1:13" ht="13.15" x14ac:dyDescent="0.4">
      <c r="A80" s="46" t="s">
        <v>8</v>
      </c>
      <c r="B80" s="16" t="str">
        <f t="array" ref="B80">_xlfn.XLOOKUP(A80,Trips[ID],Trips[Trip],"",0)</f>
        <v>ESV Shakira 2026</v>
      </c>
      <c r="C80" s="47" t="s">
        <v>111</v>
      </c>
      <c r="D80" s="51">
        <v>46059</v>
      </c>
      <c r="E80" s="54" t="s">
        <v>46</v>
      </c>
      <c r="F80" s="47" t="s">
        <v>144</v>
      </c>
      <c r="G80" s="64" t="s">
        <v>9</v>
      </c>
      <c r="H80" s="20" t="s">
        <v>16</v>
      </c>
      <c r="I80" s="47" t="s">
        <v>35</v>
      </c>
      <c r="J80" s="70">
        <v>26.42</v>
      </c>
      <c r="K80" s="71">
        <v>1.25</v>
      </c>
      <c r="L80" s="22">
        <f t="shared" si="2"/>
        <v>33.025000000000006</v>
      </c>
      <c r="M80" s="24">
        <f t="shared" si="3"/>
        <v>1.25</v>
      </c>
    </row>
    <row r="81" spans="1:13" ht="13.15" x14ac:dyDescent="0.4">
      <c r="A81" s="46" t="s">
        <v>8</v>
      </c>
      <c r="B81" s="16" t="str">
        <f t="array" ref="B81">_xlfn.XLOOKUP(A81,Trips[ID],Trips[Trip],"",0)</f>
        <v>ESV Shakira 2026</v>
      </c>
      <c r="C81" s="48" t="s">
        <v>111</v>
      </c>
      <c r="D81" s="50">
        <v>46059</v>
      </c>
      <c r="E81" s="53" t="s">
        <v>46</v>
      </c>
      <c r="F81" s="48" t="s">
        <v>145</v>
      </c>
      <c r="G81" s="68" t="s">
        <v>9</v>
      </c>
      <c r="H81" s="20" t="s">
        <v>16</v>
      </c>
      <c r="I81" s="48" t="s">
        <v>35</v>
      </c>
      <c r="J81" s="70">
        <v>26.42</v>
      </c>
      <c r="K81" s="72">
        <v>0.99</v>
      </c>
      <c r="L81" s="22">
        <f t="shared" si="2"/>
        <v>26.155800000000003</v>
      </c>
      <c r="M81" s="24">
        <f t="shared" si="3"/>
        <v>0.99</v>
      </c>
    </row>
    <row r="82" spans="1:13" ht="13.15" x14ac:dyDescent="0.4">
      <c r="A82" s="46" t="s">
        <v>8</v>
      </c>
      <c r="B82" s="16" t="str">
        <f t="array" ref="B82">_xlfn.XLOOKUP(A82,Trips[ID],Trips[Trip],"",0)</f>
        <v>ESV Shakira 2026</v>
      </c>
      <c r="C82" s="47" t="s">
        <v>111</v>
      </c>
      <c r="D82" s="51">
        <v>46059</v>
      </c>
      <c r="E82" s="54" t="s">
        <v>46</v>
      </c>
      <c r="F82" s="47" t="s">
        <v>146</v>
      </c>
      <c r="G82" s="64" t="s">
        <v>9</v>
      </c>
      <c r="H82" s="20" t="s">
        <v>16</v>
      </c>
      <c r="I82" s="47" t="s">
        <v>35</v>
      </c>
      <c r="J82" s="70">
        <v>26.42</v>
      </c>
      <c r="K82" s="71">
        <v>3</v>
      </c>
      <c r="L82" s="22">
        <f t="shared" si="2"/>
        <v>79.260000000000005</v>
      </c>
      <c r="M82" s="24">
        <f t="shared" si="3"/>
        <v>3</v>
      </c>
    </row>
    <row r="83" spans="1:13" ht="13.15" x14ac:dyDescent="0.4">
      <c r="A83" s="46" t="s">
        <v>8</v>
      </c>
      <c r="B83" s="16" t="str">
        <f t="array" ref="B83">_xlfn.XLOOKUP(A83,Trips[ID],Trips[Trip],"",0)</f>
        <v>ESV Shakira 2026</v>
      </c>
      <c r="C83" s="48" t="s">
        <v>111</v>
      </c>
      <c r="D83" s="50">
        <v>46059</v>
      </c>
      <c r="E83" s="53" t="s">
        <v>46</v>
      </c>
      <c r="F83" s="48" t="s">
        <v>147</v>
      </c>
      <c r="G83" s="68" t="s">
        <v>9</v>
      </c>
      <c r="H83" s="20" t="s">
        <v>16</v>
      </c>
      <c r="I83" s="48" t="s">
        <v>35</v>
      </c>
      <c r="J83" s="70">
        <v>26.42</v>
      </c>
      <c r="K83" s="72">
        <v>1.24</v>
      </c>
      <c r="L83" s="22">
        <f t="shared" si="2"/>
        <v>32.760800000000003</v>
      </c>
      <c r="M83" s="24">
        <f t="shared" si="3"/>
        <v>1.24</v>
      </c>
    </row>
    <row r="84" spans="1:13" ht="13.15" x14ac:dyDescent="0.4">
      <c r="A84" s="46" t="s">
        <v>8</v>
      </c>
      <c r="B84" s="16" t="str">
        <f t="array" ref="B84">_xlfn.XLOOKUP(A84,Trips[ID],Trips[Trip],"",0)</f>
        <v>ESV Shakira 2026</v>
      </c>
      <c r="C84" s="47" t="s">
        <v>111</v>
      </c>
      <c r="D84" s="51">
        <v>46059</v>
      </c>
      <c r="E84" s="54" t="s">
        <v>46</v>
      </c>
      <c r="F84" s="47" t="s">
        <v>148</v>
      </c>
      <c r="G84" s="64" t="s">
        <v>9</v>
      </c>
      <c r="H84" s="20" t="s">
        <v>16</v>
      </c>
      <c r="I84" s="47" t="s">
        <v>35</v>
      </c>
      <c r="J84" s="70">
        <v>26.42</v>
      </c>
      <c r="K84" s="71">
        <v>0.79</v>
      </c>
      <c r="L84" s="22">
        <f t="shared" si="2"/>
        <v>20.871800000000004</v>
      </c>
      <c r="M84" s="24">
        <f t="shared" si="3"/>
        <v>0.79</v>
      </c>
    </row>
    <row r="85" spans="1:13" ht="13.15" x14ac:dyDescent="0.4">
      <c r="A85" s="46" t="s">
        <v>8</v>
      </c>
      <c r="B85" s="16" t="str">
        <f t="array" ref="B85">_xlfn.XLOOKUP(A85,Trips[ID],Trips[Trip],"",0)</f>
        <v>ESV Shakira 2026</v>
      </c>
      <c r="C85" s="48" t="s">
        <v>111</v>
      </c>
      <c r="D85" s="50">
        <v>46059</v>
      </c>
      <c r="E85" s="53" t="s">
        <v>46</v>
      </c>
      <c r="F85" s="48" t="s">
        <v>149</v>
      </c>
      <c r="G85" s="68" t="s">
        <v>9</v>
      </c>
      <c r="H85" s="20" t="s">
        <v>16</v>
      </c>
      <c r="I85" s="48" t="s">
        <v>35</v>
      </c>
      <c r="J85" s="70">
        <v>26.42</v>
      </c>
      <c r="K85" s="72">
        <v>0.82</v>
      </c>
      <c r="L85" s="22">
        <f t="shared" si="2"/>
        <v>21.664400000000001</v>
      </c>
      <c r="M85" s="24">
        <f t="shared" si="3"/>
        <v>0.82</v>
      </c>
    </row>
    <row r="86" spans="1:13" ht="13.15" x14ac:dyDescent="0.4">
      <c r="A86" s="46" t="s">
        <v>8</v>
      </c>
      <c r="B86" s="16" t="str">
        <f t="array" ref="B86">_xlfn.XLOOKUP(A86,Trips[ID],Trips[Trip],"",0)</f>
        <v>ESV Shakira 2026</v>
      </c>
      <c r="C86" s="47" t="s">
        <v>111</v>
      </c>
      <c r="D86" s="51">
        <v>46059</v>
      </c>
      <c r="E86" s="54" t="s">
        <v>46</v>
      </c>
      <c r="F86" s="47" t="s">
        <v>150</v>
      </c>
      <c r="G86" s="69" t="s">
        <v>13</v>
      </c>
      <c r="H86" s="20" t="s">
        <v>16</v>
      </c>
      <c r="I86" s="47" t="s">
        <v>35</v>
      </c>
      <c r="J86" s="70">
        <v>26.42</v>
      </c>
      <c r="K86" s="71">
        <v>1.3</v>
      </c>
      <c r="L86" s="22">
        <f t="shared" si="2"/>
        <v>34.346000000000004</v>
      </c>
      <c r="M86" s="24">
        <f t="shared" si="3"/>
        <v>1.3</v>
      </c>
    </row>
    <row r="87" spans="1:13" ht="13.15" x14ac:dyDescent="0.4">
      <c r="A87" s="46" t="s">
        <v>8</v>
      </c>
      <c r="B87" s="16" t="str">
        <f t="array" ref="B87">_xlfn.XLOOKUP(A87,Trips[ID],Trips[Trip],"",0)</f>
        <v>ESV Shakira 2026</v>
      </c>
      <c r="C87" s="48" t="s">
        <v>111</v>
      </c>
      <c r="D87" s="50">
        <v>46059</v>
      </c>
      <c r="E87" s="53" t="s">
        <v>46</v>
      </c>
      <c r="F87" s="48" t="s">
        <v>151</v>
      </c>
      <c r="G87" s="68" t="s">
        <v>9</v>
      </c>
      <c r="H87" s="20" t="s">
        <v>16</v>
      </c>
      <c r="I87" s="48" t="s">
        <v>35</v>
      </c>
      <c r="J87" s="70">
        <v>26.42</v>
      </c>
      <c r="K87" s="72">
        <v>2.74</v>
      </c>
      <c r="L87" s="22">
        <f t="shared" si="2"/>
        <v>72.390800000000013</v>
      </c>
      <c r="M87" s="24">
        <f t="shared" si="3"/>
        <v>2.74</v>
      </c>
    </row>
    <row r="88" spans="1:13" ht="13.15" x14ac:dyDescent="0.4">
      <c r="A88" s="46" t="s">
        <v>8</v>
      </c>
      <c r="B88" s="16" t="str">
        <f t="array" ref="B88">_xlfn.XLOOKUP(A88,Trips[ID],Trips[Trip],"",0)</f>
        <v>ESV Shakira 2026</v>
      </c>
      <c r="C88" s="47" t="s">
        <v>111</v>
      </c>
      <c r="D88" s="51">
        <v>46059</v>
      </c>
      <c r="E88" s="54" t="s">
        <v>46</v>
      </c>
      <c r="F88" s="47" t="s">
        <v>152</v>
      </c>
      <c r="G88" s="64" t="s">
        <v>9</v>
      </c>
      <c r="H88" s="20" t="s">
        <v>16</v>
      </c>
      <c r="I88" s="47" t="s">
        <v>35</v>
      </c>
      <c r="J88" s="70">
        <v>26.42</v>
      </c>
      <c r="K88" s="71">
        <v>1.3</v>
      </c>
      <c r="L88" s="22">
        <f t="shared" si="2"/>
        <v>34.346000000000004</v>
      </c>
      <c r="M88" s="24">
        <f t="shared" si="3"/>
        <v>1.3</v>
      </c>
    </row>
    <row r="89" spans="1:13" ht="13.15" x14ac:dyDescent="0.4">
      <c r="A89" s="46" t="s">
        <v>8</v>
      </c>
      <c r="B89" s="16" t="str">
        <f t="array" ref="B89">_xlfn.XLOOKUP(A89,Trips[ID],Trips[Trip],"",0)</f>
        <v>ESV Shakira 2026</v>
      </c>
      <c r="C89" s="48" t="s">
        <v>111</v>
      </c>
      <c r="D89" s="50">
        <v>46059</v>
      </c>
      <c r="E89" s="53" t="s">
        <v>46</v>
      </c>
      <c r="F89" s="48" t="s">
        <v>153</v>
      </c>
      <c r="G89" s="55" t="s">
        <v>16</v>
      </c>
      <c r="H89" s="20" t="s">
        <v>16</v>
      </c>
      <c r="I89" s="48" t="s">
        <v>35</v>
      </c>
      <c r="J89" s="70">
        <v>26.42</v>
      </c>
      <c r="K89" s="72">
        <v>1.1000000000000001</v>
      </c>
      <c r="L89" s="22">
        <f t="shared" si="2"/>
        <v>29.062000000000005</v>
      </c>
      <c r="M89" s="24">
        <f t="shared" si="3"/>
        <v>1.1000000000000001</v>
      </c>
    </row>
    <row r="90" spans="1:13" ht="13.15" x14ac:dyDescent="0.4">
      <c r="A90" s="46" t="s">
        <v>8</v>
      </c>
      <c r="B90" s="16" t="str">
        <f t="array" ref="B90">_xlfn.XLOOKUP(A90,Trips[ID],Trips[Trip],"",0)</f>
        <v>ESV Shakira 2026</v>
      </c>
      <c r="C90" s="47" t="s">
        <v>111</v>
      </c>
      <c r="D90" s="51">
        <v>46059</v>
      </c>
      <c r="E90" s="54" t="s">
        <v>46</v>
      </c>
      <c r="F90" s="47" t="s">
        <v>154</v>
      </c>
      <c r="G90" s="64" t="s">
        <v>9</v>
      </c>
      <c r="H90" s="20" t="s">
        <v>16</v>
      </c>
      <c r="I90" s="47" t="s">
        <v>35</v>
      </c>
      <c r="J90" s="70">
        <v>26.42</v>
      </c>
      <c r="K90" s="71">
        <v>0.76</v>
      </c>
      <c r="L90" s="22">
        <f t="shared" si="2"/>
        <v>20.0792</v>
      </c>
      <c r="M90" s="24">
        <f t="shared" si="3"/>
        <v>0.76</v>
      </c>
    </row>
    <row r="91" spans="1:13" ht="13.15" x14ac:dyDescent="0.4">
      <c r="A91" s="46" t="s">
        <v>8</v>
      </c>
      <c r="B91" s="16" t="str">
        <f t="array" ref="B91">_xlfn.XLOOKUP(A91,Trips[ID],Trips[Trip],"",0)</f>
        <v>ESV Shakira 2026</v>
      </c>
      <c r="C91" s="48" t="s">
        <v>111</v>
      </c>
      <c r="D91" s="50">
        <v>46059</v>
      </c>
      <c r="E91" s="53" t="s">
        <v>46</v>
      </c>
      <c r="F91" s="48" t="s">
        <v>155</v>
      </c>
      <c r="G91" s="68" t="s">
        <v>9</v>
      </c>
      <c r="H91" s="20" t="s">
        <v>16</v>
      </c>
      <c r="I91" s="48" t="s">
        <v>35</v>
      </c>
      <c r="J91" s="70">
        <v>26.42</v>
      </c>
      <c r="K91" s="72">
        <v>5.17</v>
      </c>
      <c r="L91" s="22">
        <f t="shared" si="2"/>
        <v>136.59139999999999</v>
      </c>
      <c r="M91" s="24">
        <f t="shared" si="3"/>
        <v>5.17</v>
      </c>
    </row>
    <row r="92" spans="1:13" ht="13.15" x14ac:dyDescent="0.4">
      <c r="A92" s="46" t="s">
        <v>8</v>
      </c>
      <c r="B92" s="16" t="str">
        <f t="array" ref="B92">_xlfn.XLOOKUP(A92,Trips[ID],Trips[Trip],"",0)</f>
        <v>ESV Shakira 2026</v>
      </c>
      <c r="C92" s="47" t="s">
        <v>111</v>
      </c>
      <c r="D92" s="51">
        <v>46059</v>
      </c>
      <c r="E92" s="54" t="s">
        <v>46</v>
      </c>
      <c r="F92" s="47" t="s">
        <v>156</v>
      </c>
      <c r="G92" s="64" t="s">
        <v>9</v>
      </c>
      <c r="H92" s="20" t="s">
        <v>16</v>
      </c>
      <c r="I92" s="47" t="s">
        <v>35</v>
      </c>
      <c r="J92" s="70">
        <v>26.42</v>
      </c>
      <c r="K92" s="71">
        <v>2.11</v>
      </c>
      <c r="L92" s="22">
        <f t="shared" si="2"/>
        <v>55.746200000000002</v>
      </c>
      <c r="M92" s="24">
        <f t="shared" si="3"/>
        <v>2.11</v>
      </c>
    </row>
    <row r="93" spans="1:13" ht="13.15" x14ac:dyDescent="0.4">
      <c r="A93" s="46" t="s">
        <v>8</v>
      </c>
      <c r="B93" s="16" t="str">
        <f t="array" ref="B93">_xlfn.XLOOKUP(A93,Trips[ID],Trips[Trip],"",0)</f>
        <v>ESV Shakira 2026</v>
      </c>
      <c r="C93" s="48" t="s">
        <v>111</v>
      </c>
      <c r="D93" s="50">
        <v>46059</v>
      </c>
      <c r="E93" s="53" t="s">
        <v>46</v>
      </c>
      <c r="F93" s="48" t="s">
        <v>157</v>
      </c>
      <c r="G93" s="61" t="s">
        <v>24</v>
      </c>
      <c r="H93" s="20" t="s">
        <v>16</v>
      </c>
      <c r="I93" s="48" t="s">
        <v>35</v>
      </c>
      <c r="J93" s="70">
        <v>26.42</v>
      </c>
      <c r="K93" s="72">
        <v>1.69</v>
      </c>
      <c r="L93" s="22">
        <f t="shared" si="2"/>
        <v>44.649799999999999</v>
      </c>
      <c r="M93" s="24">
        <f t="shared" si="3"/>
        <v>1.69</v>
      </c>
    </row>
    <row r="94" spans="1:13" ht="13.15" x14ac:dyDescent="0.4">
      <c r="A94" s="46" t="s">
        <v>8</v>
      </c>
      <c r="B94" s="16" t="str">
        <f t="array" ref="B94">_xlfn.XLOOKUP(A94,Trips[ID],Trips[Trip],"",0)</f>
        <v>ESV Shakira 2026</v>
      </c>
      <c r="C94" s="47" t="s">
        <v>111</v>
      </c>
      <c r="D94" s="51">
        <v>46059</v>
      </c>
      <c r="E94" s="54" t="s">
        <v>46</v>
      </c>
      <c r="F94" s="47" t="s">
        <v>158</v>
      </c>
      <c r="G94" s="64" t="s">
        <v>9</v>
      </c>
      <c r="H94" s="20" t="s">
        <v>16</v>
      </c>
      <c r="I94" s="47" t="s">
        <v>35</v>
      </c>
      <c r="J94" s="70">
        <v>26.42</v>
      </c>
      <c r="K94" s="71">
        <v>1.1000000000000001</v>
      </c>
      <c r="L94" s="22">
        <f t="shared" si="2"/>
        <v>29.062000000000005</v>
      </c>
      <c r="M94" s="24">
        <f t="shared" si="3"/>
        <v>1.1000000000000001</v>
      </c>
    </row>
    <row r="95" spans="1:13" ht="13.15" x14ac:dyDescent="0.4">
      <c r="A95" s="46" t="s">
        <v>8</v>
      </c>
      <c r="B95" s="16" t="str">
        <f t="array" ref="B95">_xlfn.XLOOKUP(A95,Trips[ID],Trips[Trip],"",0)</f>
        <v>ESV Shakira 2026</v>
      </c>
      <c r="C95" s="48" t="s">
        <v>111</v>
      </c>
      <c r="D95" s="50">
        <v>46059</v>
      </c>
      <c r="E95" s="53" t="s">
        <v>46</v>
      </c>
      <c r="F95" s="48" t="s">
        <v>159</v>
      </c>
      <c r="G95" s="68" t="s">
        <v>9</v>
      </c>
      <c r="H95" s="20" t="s">
        <v>16</v>
      </c>
      <c r="I95" s="48" t="s">
        <v>35</v>
      </c>
      <c r="J95" s="70">
        <v>26.42</v>
      </c>
      <c r="K95" s="72">
        <v>0.99</v>
      </c>
      <c r="L95" s="22">
        <f t="shared" si="2"/>
        <v>26.155800000000003</v>
      </c>
      <c r="M95" s="24">
        <f t="shared" si="3"/>
        <v>0.99</v>
      </c>
    </row>
    <row r="96" spans="1:13" ht="13.15" x14ac:dyDescent="0.4">
      <c r="A96" s="46" t="s">
        <v>8</v>
      </c>
      <c r="B96" s="16" t="str">
        <f t="array" ref="B96">_xlfn.XLOOKUP(A96,Trips[ID],Trips[Trip],"",0)</f>
        <v>ESV Shakira 2026</v>
      </c>
      <c r="C96" s="47" t="s">
        <v>111</v>
      </c>
      <c r="D96" s="51">
        <v>46059</v>
      </c>
      <c r="E96" s="54" t="s">
        <v>46</v>
      </c>
      <c r="F96" s="47" t="s">
        <v>160</v>
      </c>
      <c r="G96" s="54" t="s">
        <v>18</v>
      </c>
      <c r="H96" s="20" t="s">
        <v>16</v>
      </c>
      <c r="I96" s="47" t="s">
        <v>35</v>
      </c>
      <c r="J96" s="70">
        <v>26.42</v>
      </c>
      <c r="K96" s="71">
        <v>1.44</v>
      </c>
      <c r="L96" s="22">
        <f t="shared" si="2"/>
        <v>38.044800000000002</v>
      </c>
      <c r="M96" s="24">
        <f t="shared" si="3"/>
        <v>1.44</v>
      </c>
    </row>
    <row r="97" spans="1:13" ht="13.15" x14ac:dyDescent="0.4">
      <c r="A97" s="46" t="s">
        <v>8</v>
      </c>
      <c r="B97" s="16" t="str">
        <f t="array" ref="B97">_xlfn.XLOOKUP(A97,Trips[ID],Trips[Trip],"",0)</f>
        <v>ESV Shakira 2026</v>
      </c>
      <c r="C97" s="48" t="s">
        <v>111</v>
      </c>
      <c r="D97" s="50">
        <v>46059</v>
      </c>
      <c r="E97" s="53" t="s">
        <v>46</v>
      </c>
      <c r="F97" s="48" t="s">
        <v>161</v>
      </c>
      <c r="G97" s="68" t="s">
        <v>9</v>
      </c>
      <c r="H97" s="20" t="s">
        <v>16</v>
      </c>
      <c r="I97" s="48" t="s">
        <v>35</v>
      </c>
      <c r="J97" s="70">
        <v>26.42</v>
      </c>
      <c r="K97" s="72">
        <v>7.25</v>
      </c>
      <c r="L97" s="22">
        <f t="shared" si="2"/>
        <v>191.54500000000002</v>
      </c>
      <c r="M97" s="24">
        <f t="shared" si="3"/>
        <v>7.25</v>
      </c>
    </row>
    <row r="98" spans="1:13" ht="13.15" x14ac:dyDescent="0.4">
      <c r="A98" s="46" t="s">
        <v>8</v>
      </c>
      <c r="B98" s="16" t="str">
        <f t="array" ref="B98">_xlfn.XLOOKUP(A98,Trips[ID],Trips[Trip],"",0)</f>
        <v>ESV Shakira 2026</v>
      </c>
      <c r="C98" s="47" t="s">
        <v>111</v>
      </c>
      <c r="D98" s="51">
        <v>46059</v>
      </c>
      <c r="E98" s="54" t="s">
        <v>46</v>
      </c>
      <c r="F98" s="47" t="s">
        <v>162</v>
      </c>
      <c r="G98" s="64" t="s">
        <v>9</v>
      </c>
      <c r="H98" s="20" t="s">
        <v>16</v>
      </c>
      <c r="I98" s="47" t="s">
        <v>35</v>
      </c>
      <c r="J98" s="70">
        <v>26.42</v>
      </c>
      <c r="K98" s="71">
        <v>1.22</v>
      </c>
      <c r="L98" s="22">
        <f t="shared" si="2"/>
        <v>32.232399999999998</v>
      </c>
      <c r="M98" s="24">
        <f t="shared" si="3"/>
        <v>1.22</v>
      </c>
    </row>
    <row r="99" spans="1:13" ht="13.15" x14ac:dyDescent="0.4">
      <c r="A99" s="46" t="s">
        <v>8</v>
      </c>
      <c r="B99" s="16" t="str">
        <f t="array" ref="B99">_xlfn.XLOOKUP(A99,Trips[ID],Trips[Trip],"",0)</f>
        <v>ESV Shakira 2026</v>
      </c>
      <c r="C99" s="48" t="s">
        <v>111</v>
      </c>
      <c r="D99" s="50">
        <v>46059</v>
      </c>
      <c r="E99" s="53" t="s">
        <v>46</v>
      </c>
      <c r="F99" s="48" t="s">
        <v>163</v>
      </c>
      <c r="G99" s="68" t="s">
        <v>9</v>
      </c>
      <c r="H99" s="20" t="s">
        <v>16</v>
      </c>
      <c r="I99" s="48" t="s">
        <v>35</v>
      </c>
      <c r="J99" s="70">
        <v>26.42</v>
      </c>
      <c r="K99" s="72">
        <v>2.0499999999999998</v>
      </c>
      <c r="L99" s="22">
        <f t="shared" si="2"/>
        <v>54.161000000000001</v>
      </c>
      <c r="M99" s="24">
        <f t="shared" si="3"/>
        <v>2.0499999999999998</v>
      </c>
    </row>
    <row r="100" spans="1:13" ht="13.15" x14ac:dyDescent="0.4">
      <c r="A100" s="46" t="s">
        <v>8</v>
      </c>
      <c r="B100" s="16" t="str">
        <f t="array" ref="B100">_xlfn.XLOOKUP(A100,Trips[ID],Trips[Trip],"",0)</f>
        <v>ESV Shakira 2026</v>
      </c>
      <c r="C100" s="47" t="s">
        <v>111</v>
      </c>
      <c r="D100" s="51">
        <v>46059</v>
      </c>
      <c r="E100" s="54" t="s">
        <v>46</v>
      </c>
      <c r="F100" s="47" t="s">
        <v>164</v>
      </c>
      <c r="G100" s="56" t="s">
        <v>16</v>
      </c>
      <c r="H100" s="20" t="s">
        <v>16</v>
      </c>
      <c r="I100" s="47" t="s">
        <v>35</v>
      </c>
      <c r="J100" s="70">
        <v>26.42</v>
      </c>
      <c r="K100" s="71">
        <v>2.25</v>
      </c>
      <c r="L100" s="22">
        <f t="shared" si="2"/>
        <v>59.445000000000007</v>
      </c>
      <c r="M100" s="24">
        <f t="shared" si="3"/>
        <v>2.25</v>
      </c>
    </row>
    <row r="101" spans="1:13" ht="13.15" x14ac:dyDescent="0.4">
      <c r="A101" s="46" t="s">
        <v>8</v>
      </c>
      <c r="B101" s="16" t="str">
        <f t="array" ref="B101">_xlfn.XLOOKUP(A101,Trips[ID],Trips[Trip],"",0)</f>
        <v>ESV Shakira 2026</v>
      </c>
      <c r="C101" s="48" t="s">
        <v>111</v>
      </c>
      <c r="D101" s="50">
        <v>46059</v>
      </c>
      <c r="E101" s="53" t="s">
        <v>46</v>
      </c>
      <c r="F101" s="48" t="s">
        <v>165</v>
      </c>
      <c r="G101" s="68" t="s">
        <v>9</v>
      </c>
      <c r="H101" s="20" t="s">
        <v>16</v>
      </c>
      <c r="I101" s="48" t="s">
        <v>35</v>
      </c>
      <c r="J101" s="70">
        <v>26.42</v>
      </c>
      <c r="K101" s="72">
        <v>2.5499999999999998</v>
      </c>
      <c r="L101" s="22">
        <f t="shared" si="2"/>
        <v>67.370999999999995</v>
      </c>
      <c r="M101" s="24">
        <f t="shared" si="3"/>
        <v>2.5499999999999998</v>
      </c>
    </row>
    <row r="102" spans="1:13" ht="13.15" x14ac:dyDescent="0.4">
      <c r="A102" s="46" t="s">
        <v>8</v>
      </c>
      <c r="B102" s="16" t="str">
        <f t="array" ref="B102">_xlfn.XLOOKUP(A102,Trips[ID],Trips[Trip],"",0)</f>
        <v>ESV Shakira 2026</v>
      </c>
      <c r="C102" s="47" t="s">
        <v>112</v>
      </c>
      <c r="D102" s="51">
        <v>46059</v>
      </c>
      <c r="E102" s="54" t="s">
        <v>46</v>
      </c>
      <c r="F102" s="47" t="s">
        <v>166</v>
      </c>
      <c r="G102" s="64" t="s">
        <v>9</v>
      </c>
      <c r="H102" s="20" t="s">
        <v>16</v>
      </c>
      <c r="I102" s="47" t="s">
        <v>35</v>
      </c>
      <c r="J102" s="70">
        <v>26.42</v>
      </c>
      <c r="K102" s="71">
        <v>-1.32</v>
      </c>
      <c r="L102" s="22">
        <f t="shared" si="2"/>
        <v>-34.874400000000001</v>
      </c>
      <c r="M102" s="24">
        <f t="shared" si="3"/>
        <v>-1.32</v>
      </c>
    </row>
    <row r="103" spans="1:13" ht="13.15" x14ac:dyDescent="0.4">
      <c r="A103" s="46" t="s">
        <v>8</v>
      </c>
      <c r="B103" s="16" t="str">
        <f t="array" ref="B103">_xlfn.XLOOKUP(A103,Trips[ID],Trips[Trip],"",0)</f>
        <v>ESV Shakira 2026</v>
      </c>
      <c r="C103" s="48" t="s">
        <v>112</v>
      </c>
      <c r="D103" s="50">
        <v>46059</v>
      </c>
      <c r="E103" s="53" t="s">
        <v>37</v>
      </c>
      <c r="F103" s="48" t="s">
        <v>167</v>
      </c>
      <c r="G103" s="53" t="s">
        <v>18</v>
      </c>
      <c r="H103" s="20" t="s">
        <v>16</v>
      </c>
      <c r="I103" s="48" t="s">
        <v>35</v>
      </c>
      <c r="J103" s="70">
        <v>26.42</v>
      </c>
      <c r="K103" s="72">
        <v>0.85</v>
      </c>
      <c r="L103" s="22">
        <f t="shared" si="2"/>
        <v>22.457000000000001</v>
      </c>
      <c r="M103" s="24">
        <f t="shared" si="3"/>
        <v>0.85</v>
      </c>
    </row>
    <row r="104" spans="1:13" ht="13.15" x14ac:dyDescent="0.4">
      <c r="A104" s="46" t="s">
        <v>8</v>
      </c>
      <c r="B104" s="16" t="str">
        <f t="array" ref="B104">_xlfn.XLOOKUP(A104,Trips[ID],Trips[Trip],"",0)</f>
        <v>ESV Shakira 2026</v>
      </c>
      <c r="C104" s="47" t="s">
        <v>112</v>
      </c>
      <c r="D104" s="51">
        <v>46059</v>
      </c>
      <c r="E104" s="54" t="s">
        <v>37</v>
      </c>
      <c r="F104" s="47" t="s">
        <v>168</v>
      </c>
      <c r="G104" s="54" t="s">
        <v>18</v>
      </c>
      <c r="H104" s="20" t="s">
        <v>16</v>
      </c>
      <c r="I104" s="47" t="s">
        <v>35</v>
      </c>
      <c r="J104" s="70">
        <v>26.42</v>
      </c>
      <c r="K104" s="71">
        <v>1.5</v>
      </c>
      <c r="L104" s="22">
        <f t="shared" si="2"/>
        <v>39.630000000000003</v>
      </c>
      <c r="M104" s="24">
        <f t="shared" si="3"/>
        <v>1.5</v>
      </c>
    </row>
    <row r="105" spans="1:13" ht="26.25" x14ac:dyDescent="0.4">
      <c r="A105" s="46" t="s">
        <v>8</v>
      </c>
      <c r="B105" s="16" t="str">
        <f t="array" ref="B105">_xlfn.XLOOKUP(A105,Trips[ID],Trips[Trip],"",0)</f>
        <v>ESV Shakira 2026</v>
      </c>
      <c r="C105" s="48" t="s">
        <v>112</v>
      </c>
      <c r="D105" s="50">
        <v>46059</v>
      </c>
      <c r="E105" s="53" t="s">
        <v>37</v>
      </c>
      <c r="F105" s="48" t="s">
        <v>169</v>
      </c>
      <c r="G105" s="53" t="s">
        <v>18</v>
      </c>
      <c r="H105" s="20" t="s">
        <v>16</v>
      </c>
      <c r="I105" s="48" t="s">
        <v>35</v>
      </c>
      <c r="J105" s="70">
        <v>26.42</v>
      </c>
      <c r="K105" s="72">
        <v>1.75</v>
      </c>
      <c r="L105" s="22">
        <f t="shared" si="2"/>
        <v>46.234999999999999</v>
      </c>
      <c r="M105" s="24">
        <f t="shared" si="3"/>
        <v>1.75</v>
      </c>
    </row>
    <row r="106" spans="1:13" ht="26.25" x14ac:dyDescent="0.4">
      <c r="A106" s="46" t="s">
        <v>8</v>
      </c>
      <c r="B106" s="16" t="str">
        <f t="array" ref="B106">_xlfn.XLOOKUP(A106,Trips[ID],Trips[Trip],"",0)</f>
        <v>ESV Shakira 2026</v>
      </c>
      <c r="C106" s="47" t="s">
        <v>112</v>
      </c>
      <c r="D106" s="51">
        <v>46059</v>
      </c>
      <c r="E106" s="54" t="s">
        <v>37</v>
      </c>
      <c r="F106" s="47" t="s">
        <v>169</v>
      </c>
      <c r="G106" s="56" t="s">
        <v>16</v>
      </c>
      <c r="H106" s="20" t="s">
        <v>16</v>
      </c>
      <c r="I106" s="47" t="s">
        <v>35</v>
      </c>
      <c r="J106" s="70">
        <v>26.42</v>
      </c>
      <c r="K106" s="71">
        <v>1.75</v>
      </c>
      <c r="L106" s="22">
        <f t="shared" si="2"/>
        <v>46.234999999999999</v>
      </c>
      <c r="M106" s="24">
        <f t="shared" si="3"/>
        <v>1.75</v>
      </c>
    </row>
    <row r="107" spans="1:13" ht="26.25" x14ac:dyDescent="0.4">
      <c r="A107" s="46" t="s">
        <v>8</v>
      </c>
      <c r="B107" s="16" t="str">
        <f t="array" ref="B107">_xlfn.XLOOKUP(A107,Trips[ID],Trips[Trip],"",0)</f>
        <v>ESV Shakira 2026</v>
      </c>
      <c r="C107" s="48" t="s">
        <v>112</v>
      </c>
      <c r="D107" s="50">
        <v>46059</v>
      </c>
      <c r="E107" s="53" t="s">
        <v>37</v>
      </c>
      <c r="F107" s="48" t="s">
        <v>169</v>
      </c>
      <c r="G107" s="66" t="s">
        <v>21</v>
      </c>
      <c r="H107" s="20" t="s">
        <v>16</v>
      </c>
      <c r="I107" s="48" t="s">
        <v>35</v>
      </c>
      <c r="J107" s="70">
        <v>26.42</v>
      </c>
      <c r="K107" s="72">
        <v>1.75</v>
      </c>
      <c r="L107" s="22">
        <f t="shared" si="2"/>
        <v>46.234999999999999</v>
      </c>
      <c r="M107" s="24">
        <f t="shared" si="3"/>
        <v>1.75</v>
      </c>
    </row>
    <row r="108" spans="1:13" ht="13.15" x14ac:dyDescent="0.4">
      <c r="A108" s="46" t="s">
        <v>8</v>
      </c>
      <c r="B108" s="16" t="str">
        <f t="array" ref="B108">_xlfn.XLOOKUP(A108,Trips[ID],Trips[Trip],"",0)</f>
        <v>ESV Shakira 2026</v>
      </c>
      <c r="C108" s="47" t="s">
        <v>112</v>
      </c>
      <c r="D108" s="51">
        <v>46059</v>
      </c>
      <c r="E108" s="54" t="s">
        <v>37</v>
      </c>
      <c r="F108" s="47" t="s">
        <v>170</v>
      </c>
      <c r="G108" s="54" t="s">
        <v>18</v>
      </c>
      <c r="H108" s="20" t="s">
        <v>16</v>
      </c>
      <c r="I108" s="47" t="s">
        <v>35</v>
      </c>
      <c r="J108" s="70">
        <v>26.42</v>
      </c>
      <c r="K108" s="71">
        <v>1</v>
      </c>
      <c r="L108" s="22">
        <f t="shared" si="2"/>
        <v>26.42</v>
      </c>
      <c r="M108" s="24">
        <f t="shared" si="3"/>
        <v>1</v>
      </c>
    </row>
    <row r="109" spans="1:13" ht="13.15" x14ac:dyDescent="0.4">
      <c r="A109" s="46" t="s">
        <v>8</v>
      </c>
      <c r="B109" s="16" t="str">
        <f t="array" ref="B109">_xlfn.XLOOKUP(A109,Trips[ID],Trips[Trip],"",0)</f>
        <v>ESV Shakira 2026</v>
      </c>
      <c r="C109" s="48" t="s">
        <v>112</v>
      </c>
      <c r="D109" s="50">
        <v>46059</v>
      </c>
      <c r="E109" s="53" t="s">
        <v>37</v>
      </c>
      <c r="F109" s="48" t="s">
        <v>171</v>
      </c>
      <c r="G109" s="61" t="s">
        <v>24</v>
      </c>
      <c r="H109" s="20" t="s">
        <v>16</v>
      </c>
      <c r="I109" s="48" t="s">
        <v>35</v>
      </c>
      <c r="J109" s="70">
        <v>26.42</v>
      </c>
      <c r="K109" s="72">
        <v>1.25</v>
      </c>
      <c r="L109" s="22">
        <f t="shared" si="2"/>
        <v>33.025000000000006</v>
      </c>
      <c r="M109" s="24">
        <f t="shared" si="3"/>
        <v>1.25</v>
      </c>
    </row>
    <row r="110" spans="1:13" ht="13.15" x14ac:dyDescent="0.4">
      <c r="A110" s="46" t="s">
        <v>8</v>
      </c>
      <c r="B110" s="16" t="str">
        <f t="array" ref="B110">_xlfn.XLOOKUP(A110,Trips[ID],Trips[Trip],"",0)</f>
        <v>ESV Shakira 2026</v>
      </c>
      <c r="C110" s="47" t="s">
        <v>112</v>
      </c>
      <c r="D110" s="51">
        <v>46059</v>
      </c>
      <c r="E110" s="54" t="s">
        <v>37</v>
      </c>
      <c r="F110" s="47" t="s">
        <v>172</v>
      </c>
      <c r="G110" s="56" t="s">
        <v>16</v>
      </c>
      <c r="H110" s="20" t="s">
        <v>16</v>
      </c>
      <c r="I110" s="47" t="s">
        <v>35</v>
      </c>
      <c r="J110" s="70">
        <v>26.42</v>
      </c>
      <c r="K110" s="71">
        <v>1.5</v>
      </c>
      <c r="L110" s="22">
        <f t="shared" si="2"/>
        <v>39.630000000000003</v>
      </c>
      <c r="M110" s="24">
        <f t="shared" si="3"/>
        <v>1.5</v>
      </c>
    </row>
    <row r="111" spans="1:13" ht="13.15" x14ac:dyDescent="0.4">
      <c r="A111" s="46" t="s">
        <v>8</v>
      </c>
      <c r="B111" s="16" t="str">
        <f t="array" ref="B111">_xlfn.XLOOKUP(A111,Trips[ID],Trips[Trip],"",0)</f>
        <v>ESV Shakira 2026</v>
      </c>
      <c r="C111" s="48" t="s">
        <v>112</v>
      </c>
      <c r="D111" s="50">
        <v>46059</v>
      </c>
      <c r="E111" s="53" t="s">
        <v>37</v>
      </c>
      <c r="F111" s="48" t="s">
        <v>172</v>
      </c>
      <c r="G111" s="66" t="s">
        <v>21</v>
      </c>
      <c r="H111" s="20" t="s">
        <v>16</v>
      </c>
      <c r="I111" s="48" t="s">
        <v>35</v>
      </c>
      <c r="J111" s="70">
        <v>26.42</v>
      </c>
      <c r="K111" s="72">
        <v>1.5</v>
      </c>
      <c r="L111" s="22">
        <f t="shared" si="2"/>
        <v>39.630000000000003</v>
      </c>
      <c r="M111" s="24">
        <f t="shared" si="3"/>
        <v>1.5</v>
      </c>
    </row>
    <row r="112" spans="1:13" ht="13.15" x14ac:dyDescent="0.4">
      <c r="A112" s="46" t="s">
        <v>8</v>
      </c>
      <c r="B112" s="16" t="str">
        <f t="array" ref="B112">_xlfn.XLOOKUP(A112,Trips[ID],Trips[Trip],"",0)</f>
        <v>ESV Shakira 2026</v>
      </c>
      <c r="C112" s="47" t="s">
        <v>112</v>
      </c>
      <c r="D112" s="51">
        <v>46059</v>
      </c>
      <c r="E112" s="54" t="s">
        <v>37</v>
      </c>
      <c r="F112" s="47" t="s">
        <v>172</v>
      </c>
      <c r="G112" s="59" t="s">
        <v>24</v>
      </c>
      <c r="H112" s="20" t="s">
        <v>16</v>
      </c>
      <c r="I112" s="47" t="s">
        <v>35</v>
      </c>
      <c r="J112" s="70">
        <v>26.42</v>
      </c>
      <c r="K112" s="71">
        <v>1.5</v>
      </c>
      <c r="L112" s="22">
        <f t="shared" si="2"/>
        <v>39.630000000000003</v>
      </c>
      <c r="M112" s="24">
        <f t="shared" si="3"/>
        <v>1.5</v>
      </c>
    </row>
    <row r="113" spans="1:13" ht="13.15" x14ac:dyDescent="0.4">
      <c r="A113" s="46" t="s">
        <v>8</v>
      </c>
      <c r="B113" s="16" t="str">
        <f t="array" ref="B113">_xlfn.XLOOKUP(A113,Trips[ID],Trips[Trip],"",0)</f>
        <v>ESV Shakira 2026</v>
      </c>
      <c r="C113" s="48" t="s">
        <v>112</v>
      </c>
      <c r="D113" s="50">
        <v>46059</v>
      </c>
      <c r="E113" s="53" t="s">
        <v>37</v>
      </c>
      <c r="F113" s="48" t="s">
        <v>172</v>
      </c>
      <c r="G113" s="65" t="s">
        <v>13</v>
      </c>
      <c r="H113" s="20" t="s">
        <v>16</v>
      </c>
      <c r="I113" s="48" t="s">
        <v>35</v>
      </c>
      <c r="J113" s="70">
        <v>26.42</v>
      </c>
      <c r="K113" s="72">
        <v>1.5</v>
      </c>
      <c r="L113" s="22">
        <f t="shared" si="2"/>
        <v>39.630000000000003</v>
      </c>
      <c r="M113" s="24">
        <f t="shared" si="3"/>
        <v>1.5</v>
      </c>
    </row>
    <row r="114" spans="1:13" ht="13.15" x14ac:dyDescent="0.4">
      <c r="A114" s="46" t="s">
        <v>8</v>
      </c>
      <c r="B114" s="16" t="str">
        <f t="array" ref="B114">_xlfn.XLOOKUP(A114,Trips[ID],Trips[Trip],"",0)</f>
        <v>ESV Shakira 2026</v>
      </c>
      <c r="C114" s="47" t="s">
        <v>112</v>
      </c>
      <c r="D114" s="51">
        <v>46059</v>
      </c>
      <c r="E114" s="54" t="s">
        <v>37</v>
      </c>
      <c r="F114" s="47" t="s">
        <v>173</v>
      </c>
      <c r="G114" s="56" t="s">
        <v>16</v>
      </c>
      <c r="H114" s="20" t="s">
        <v>16</v>
      </c>
      <c r="I114" s="47" t="s">
        <v>35</v>
      </c>
      <c r="J114" s="70">
        <v>26.42</v>
      </c>
      <c r="K114" s="71">
        <v>2</v>
      </c>
      <c r="L114" s="22">
        <f t="shared" si="2"/>
        <v>52.84</v>
      </c>
      <c r="M114" s="24">
        <f t="shared" si="3"/>
        <v>2</v>
      </c>
    </row>
    <row r="115" spans="1:13" ht="13.15" x14ac:dyDescent="0.4">
      <c r="A115" s="46" t="s">
        <v>8</v>
      </c>
      <c r="B115" s="16" t="str">
        <f t="array" ref="B115">_xlfn.XLOOKUP(A115,Trips[ID],Trips[Trip],"",0)</f>
        <v>ESV Shakira 2026</v>
      </c>
      <c r="C115" s="48" t="s">
        <v>112</v>
      </c>
      <c r="D115" s="50">
        <v>46059</v>
      </c>
      <c r="E115" s="53" t="s">
        <v>37</v>
      </c>
      <c r="F115" s="48" t="s">
        <v>173</v>
      </c>
      <c r="G115" s="66" t="s">
        <v>21</v>
      </c>
      <c r="H115" s="20" t="s">
        <v>16</v>
      </c>
      <c r="I115" s="48" t="s">
        <v>35</v>
      </c>
      <c r="J115" s="70">
        <v>26.42</v>
      </c>
      <c r="K115" s="72">
        <v>2</v>
      </c>
      <c r="L115" s="22">
        <f t="shared" si="2"/>
        <v>52.84</v>
      </c>
      <c r="M115" s="24">
        <f t="shared" si="3"/>
        <v>2</v>
      </c>
    </row>
    <row r="116" spans="1:13" ht="13.15" x14ac:dyDescent="0.4">
      <c r="A116" s="46" t="s">
        <v>8</v>
      </c>
      <c r="B116" s="16" t="str">
        <f t="array" ref="B116">_xlfn.XLOOKUP(A116,Trips[ID],Trips[Trip],"",0)</f>
        <v>ESV Shakira 2026</v>
      </c>
      <c r="C116" s="47" t="s">
        <v>112</v>
      </c>
      <c r="D116" s="51">
        <v>46059</v>
      </c>
      <c r="E116" s="54" t="s">
        <v>37</v>
      </c>
      <c r="F116" s="47" t="s">
        <v>173</v>
      </c>
      <c r="G116" s="59" t="s">
        <v>24</v>
      </c>
      <c r="H116" s="20" t="s">
        <v>16</v>
      </c>
      <c r="I116" s="47" t="s">
        <v>35</v>
      </c>
      <c r="J116" s="70">
        <v>26.42</v>
      </c>
      <c r="K116" s="71">
        <v>2</v>
      </c>
      <c r="L116" s="22">
        <f t="shared" si="2"/>
        <v>52.84</v>
      </c>
      <c r="M116" s="24">
        <f t="shared" si="3"/>
        <v>2</v>
      </c>
    </row>
    <row r="117" spans="1:13" ht="13.15" x14ac:dyDescent="0.4">
      <c r="A117" s="46" t="s">
        <v>8</v>
      </c>
      <c r="B117" s="16" t="str">
        <f t="array" ref="B117">_xlfn.XLOOKUP(A117,Trips[ID],Trips[Trip],"",0)</f>
        <v>ESV Shakira 2026</v>
      </c>
      <c r="C117" s="48" t="s">
        <v>112</v>
      </c>
      <c r="D117" s="50">
        <v>46059</v>
      </c>
      <c r="E117" s="53" t="s">
        <v>37</v>
      </c>
      <c r="F117" s="48" t="s">
        <v>174</v>
      </c>
      <c r="G117" s="65" t="s">
        <v>13</v>
      </c>
      <c r="H117" s="20" t="s">
        <v>16</v>
      </c>
      <c r="I117" s="48" t="s">
        <v>35</v>
      </c>
      <c r="J117" s="70">
        <v>26.42</v>
      </c>
      <c r="K117" s="72">
        <v>1.5</v>
      </c>
      <c r="L117" s="22">
        <f t="shared" si="2"/>
        <v>39.630000000000003</v>
      </c>
      <c r="M117" s="24">
        <f t="shared" si="3"/>
        <v>1.5</v>
      </c>
    </row>
    <row r="118" spans="1:13" ht="13.15" x14ac:dyDescent="0.4">
      <c r="A118" s="46" t="s">
        <v>8</v>
      </c>
      <c r="B118" s="16" t="str">
        <f t="array" ref="B118">_xlfn.XLOOKUP(A118,Trips[ID],Trips[Trip],"",0)</f>
        <v>ESV Shakira 2026</v>
      </c>
      <c r="C118" s="47" t="s">
        <v>112</v>
      </c>
      <c r="D118" s="51">
        <v>46059</v>
      </c>
      <c r="E118" s="54" t="s">
        <v>37</v>
      </c>
      <c r="F118" s="47" t="s">
        <v>174</v>
      </c>
      <c r="G118" s="56" t="s">
        <v>16</v>
      </c>
      <c r="H118" s="20" t="s">
        <v>16</v>
      </c>
      <c r="I118" s="47" t="s">
        <v>35</v>
      </c>
      <c r="J118" s="70">
        <v>26.42</v>
      </c>
      <c r="K118" s="71">
        <v>1.5</v>
      </c>
      <c r="L118" s="22">
        <f t="shared" si="2"/>
        <v>39.630000000000003</v>
      </c>
      <c r="M118" s="24">
        <f t="shared" si="3"/>
        <v>1.5</v>
      </c>
    </row>
    <row r="119" spans="1:13" ht="13.15" x14ac:dyDescent="0.4">
      <c r="A119" s="46" t="s">
        <v>8</v>
      </c>
      <c r="B119" s="16" t="str">
        <f t="array" ref="B119">_xlfn.XLOOKUP(A119,Trips[ID],Trips[Trip],"",0)</f>
        <v>ESV Shakira 2026</v>
      </c>
      <c r="C119" s="48" t="s">
        <v>112</v>
      </c>
      <c r="D119" s="50">
        <v>46059</v>
      </c>
      <c r="E119" s="53" t="s">
        <v>37</v>
      </c>
      <c r="F119" s="48" t="s">
        <v>175</v>
      </c>
      <c r="G119" s="65" t="s">
        <v>13</v>
      </c>
      <c r="H119" s="20" t="s">
        <v>16</v>
      </c>
      <c r="I119" s="48" t="s">
        <v>35</v>
      </c>
      <c r="J119" s="70">
        <v>26.42</v>
      </c>
      <c r="K119" s="72">
        <v>1.5</v>
      </c>
      <c r="L119" s="22">
        <f t="shared" si="2"/>
        <v>39.630000000000003</v>
      </c>
      <c r="M119" s="24">
        <f t="shared" si="3"/>
        <v>1.5</v>
      </c>
    </row>
    <row r="120" spans="1:13" ht="13.15" x14ac:dyDescent="0.4">
      <c r="A120" s="46" t="s">
        <v>8</v>
      </c>
      <c r="B120" s="16" t="str">
        <f t="array" ref="B120">_xlfn.XLOOKUP(A120,Trips[ID],Trips[Trip],"",0)</f>
        <v>ESV Shakira 2026</v>
      </c>
      <c r="C120" s="47" t="s">
        <v>112</v>
      </c>
      <c r="D120" s="51">
        <v>46059</v>
      </c>
      <c r="E120" s="54" t="s">
        <v>37</v>
      </c>
      <c r="F120" s="47" t="s">
        <v>176</v>
      </c>
      <c r="G120" s="69" t="s">
        <v>13</v>
      </c>
      <c r="H120" s="20" t="s">
        <v>16</v>
      </c>
      <c r="I120" s="47" t="s">
        <v>35</v>
      </c>
      <c r="J120" s="70">
        <v>26.42</v>
      </c>
      <c r="K120" s="71">
        <v>1</v>
      </c>
      <c r="L120" s="22">
        <f t="shared" si="2"/>
        <v>26.42</v>
      </c>
      <c r="M120" s="24">
        <f t="shared" si="3"/>
        <v>1</v>
      </c>
    </row>
    <row r="121" spans="1:13" ht="13.15" x14ac:dyDescent="0.4">
      <c r="A121" s="46" t="s">
        <v>8</v>
      </c>
      <c r="B121" s="16" t="str">
        <f t="array" ref="B121">_xlfn.XLOOKUP(A121,Trips[ID],Trips[Trip],"",0)</f>
        <v>ESV Shakira 2026</v>
      </c>
      <c r="C121" s="48" t="s">
        <v>112</v>
      </c>
      <c r="D121" s="50">
        <v>46059</v>
      </c>
      <c r="E121" s="53" t="s">
        <v>37</v>
      </c>
      <c r="F121" s="48" t="s">
        <v>177</v>
      </c>
      <c r="G121" s="66" t="s">
        <v>21</v>
      </c>
      <c r="H121" s="20" t="s">
        <v>16</v>
      </c>
      <c r="I121" s="48" t="s">
        <v>35</v>
      </c>
      <c r="J121" s="70">
        <v>26.42</v>
      </c>
      <c r="K121" s="72">
        <v>2.5</v>
      </c>
      <c r="L121" s="22">
        <f t="shared" si="2"/>
        <v>66.050000000000011</v>
      </c>
      <c r="M121" s="24">
        <f t="shared" si="3"/>
        <v>2.5</v>
      </c>
    </row>
    <row r="122" spans="1:13" ht="13.15" x14ac:dyDescent="0.4">
      <c r="A122" s="46" t="s">
        <v>8</v>
      </c>
      <c r="B122" s="16" t="str">
        <f t="array" ref="B122">_xlfn.XLOOKUP(A122,Trips[ID],Trips[Trip],"",0)</f>
        <v>ESV Shakira 2026</v>
      </c>
      <c r="C122" s="47" t="s">
        <v>112</v>
      </c>
      <c r="D122" s="51">
        <v>46059</v>
      </c>
      <c r="E122" s="54" t="s">
        <v>37</v>
      </c>
      <c r="F122" s="47" t="s">
        <v>178</v>
      </c>
      <c r="G122" s="67" t="s">
        <v>21</v>
      </c>
      <c r="H122" s="20" t="s">
        <v>16</v>
      </c>
      <c r="I122" s="47" t="s">
        <v>35</v>
      </c>
      <c r="J122" s="70">
        <v>26.42</v>
      </c>
      <c r="K122" s="71">
        <v>2</v>
      </c>
      <c r="L122" s="22">
        <f t="shared" si="2"/>
        <v>52.84</v>
      </c>
      <c r="M122" s="24">
        <f t="shared" si="3"/>
        <v>2</v>
      </c>
    </row>
    <row r="123" spans="1:13" ht="13.15" x14ac:dyDescent="0.4">
      <c r="A123" s="46" t="s">
        <v>8</v>
      </c>
      <c r="B123" s="16" t="str">
        <f t="array" ref="B123">_xlfn.XLOOKUP(A123,Trips[ID],Trips[Trip],"",0)</f>
        <v>ESV Shakira 2026</v>
      </c>
      <c r="C123" s="48" t="s">
        <v>112</v>
      </c>
      <c r="D123" s="50">
        <v>46059</v>
      </c>
      <c r="E123" s="53" t="s">
        <v>37</v>
      </c>
      <c r="F123" s="48" t="s">
        <v>179</v>
      </c>
      <c r="G123" s="55" t="s">
        <v>16</v>
      </c>
      <c r="H123" s="20" t="s">
        <v>16</v>
      </c>
      <c r="I123" s="48" t="s">
        <v>35</v>
      </c>
      <c r="J123" s="70">
        <v>26.42</v>
      </c>
      <c r="K123" s="72">
        <v>1.25</v>
      </c>
      <c r="L123" s="22">
        <f t="shared" si="2"/>
        <v>33.025000000000006</v>
      </c>
      <c r="M123" s="24">
        <f t="shared" si="3"/>
        <v>1.25</v>
      </c>
    </row>
    <row r="124" spans="1:13" ht="13.15" x14ac:dyDescent="0.4">
      <c r="A124" s="46" t="s">
        <v>8</v>
      </c>
      <c r="B124" s="16" t="str">
        <f t="array" ref="B124">_xlfn.XLOOKUP(A124,Trips[ID],Trips[Trip],"",0)</f>
        <v>ESV Shakira 2026</v>
      </c>
      <c r="C124" s="47" t="s">
        <v>112</v>
      </c>
      <c r="D124" s="51">
        <v>46059</v>
      </c>
      <c r="E124" s="54" t="s">
        <v>37</v>
      </c>
      <c r="F124" s="47" t="s">
        <v>180</v>
      </c>
      <c r="G124" s="64" t="s">
        <v>9</v>
      </c>
      <c r="H124" s="20" t="s">
        <v>16</v>
      </c>
      <c r="I124" s="47" t="s">
        <v>35</v>
      </c>
      <c r="J124" s="70">
        <v>26.42</v>
      </c>
      <c r="K124" s="71">
        <v>3.31</v>
      </c>
      <c r="L124" s="22">
        <f t="shared" si="2"/>
        <v>87.450200000000009</v>
      </c>
      <c r="M124" s="24">
        <f t="shared" si="3"/>
        <v>3.31</v>
      </c>
    </row>
    <row r="125" spans="1:13" ht="13.15" x14ac:dyDescent="0.4">
      <c r="A125" s="46" t="s">
        <v>8</v>
      </c>
      <c r="B125" s="16" t="str">
        <f t="array" ref="B125">_xlfn.XLOOKUP(A125,Trips[ID],Trips[Trip],"",0)</f>
        <v>ESV Shakira 2026</v>
      </c>
      <c r="C125" s="48" t="s">
        <v>113</v>
      </c>
      <c r="D125" s="50">
        <v>46060</v>
      </c>
      <c r="E125" s="53" t="s">
        <v>37</v>
      </c>
      <c r="F125" s="48" t="s">
        <v>181</v>
      </c>
      <c r="G125" s="55" t="s">
        <v>16</v>
      </c>
      <c r="H125" s="20" t="s">
        <v>16</v>
      </c>
      <c r="I125" s="48" t="s">
        <v>35</v>
      </c>
      <c r="J125" s="70">
        <v>26.42</v>
      </c>
      <c r="K125" s="72">
        <v>15.99</v>
      </c>
      <c r="L125" s="22">
        <f t="shared" si="2"/>
        <v>422.45580000000001</v>
      </c>
      <c r="M125" s="24">
        <f t="shared" si="3"/>
        <v>15.99</v>
      </c>
    </row>
    <row r="126" spans="1:13" ht="13.15" x14ac:dyDescent="0.4">
      <c r="A126" s="46" t="s">
        <v>8</v>
      </c>
      <c r="B126" s="16" t="str">
        <f t="array" ref="B126">_xlfn.XLOOKUP(A126,Trips[ID],Trips[Trip],"",0)</f>
        <v>ESV Shakira 2026</v>
      </c>
      <c r="C126" s="47" t="s">
        <v>113</v>
      </c>
      <c r="D126" s="51">
        <v>46060</v>
      </c>
      <c r="E126" s="54" t="s">
        <v>37</v>
      </c>
      <c r="F126" s="47" t="s">
        <v>182</v>
      </c>
      <c r="G126" s="67" t="s">
        <v>21</v>
      </c>
      <c r="H126" s="20" t="s">
        <v>16</v>
      </c>
      <c r="I126" s="47" t="s">
        <v>35</v>
      </c>
      <c r="J126" s="70">
        <v>26.42</v>
      </c>
      <c r="K126" s="71">
        <v>17.95</v>
      </c>
      <c r="L126" s="22">
        <f t="shared" si="2"/>
        <v>474.23900000000003</v>
      </c>
      <c r="M126" s="24">
        <f t="shared" si="3"/>
        <v>17.95</v>
      </c>
    </row>
    <row r="127" spans="1:13" ht="13.15" x14ac:dyDescent="0.4">
      <c r="A127" s="46" t="s">
        <v>8</v>
      </c>
      <c r="B127" s="16" t="str">
        <f t="array" ref="B127">_xlfn.XLOOKUP(A127,Trips[ID],Trips[Trip],"",0)</f>
        <v>ESV Shakira 2026</v>
      </c>
      <c r="C127" s="48" t="s">
        <v>113</v>
      </c>
      <c r="D127" s="50">
        <v>46060</v>
      </c>
      <c r="E127" s="53" t="s">
        <v>37</v>
      </c>
      <c r="F127" s="48" t="s">
        <v>183</v>
      </c>
      <c r="G127" s="61" t="s">
        <v>24</v>
      </c>
      <c r="H127" s="20" t="s">
        <v>16</v>
      </c>
      <c r="I127" s="48" t="s">
        <v>35</v>
      </c>
      <c r="J127" s="70">
        <v>26.42</v>
      </c>
      <c r="K127" s="72">
        <v>17.989999999999998</v>
      </c>
      <c r="L127" s="22">
        <f t="shared" si="2"/>
        <v>475.29579999999999</v>
      </c>
      <c r="M127" s="24">
        <f t="shared" si="3"/>
        <v>17.989999999999998</v>
      </c>
    </row>
    <row r="128" spans="1:13" ht="13.15" x14ac:dyDescent="0.4">
      <c r="A128" s="46" t="s">
        <v>8</v>
      </c>
      <c r="B128" s="16" t="str">
        <f t="array" ref="B128">_xlfn.XLOOKUP(A128,Trips[ID],Trips[Trip],"",0)</f>
        <v>ESV Shakira 2026</v>
      </c>
      <c r="C128" s="47" t="s">
        <v>113</v>
      </c>
      <c r="D128" s="51">
        <v>46060</v>
      </c>
      <c r="E128" s="54" t="s">
        <v>37</v>
      </c>
      <c r="F128" s="47" t="s">
        <v>184</v>
      </c>
      <c r="G128" s="69" t="s">
        <v>13</v>
      </c>
      <c r="H128" s="20" t="s">
        <v>16</v>
      </c>
      <c r="I128" s="47" t="s">
        <v>35</v>
      </c>
      <c r="J128" s="70">
        <v>26.42</v>
      </c>
      <c r="K128" s="71">
        <v>17.95</v>
      </c>
      <c r="L128" s="22">
        <f t="shared" si="2"/>
        <v>474.23900000000003</v>
      </c>
      <c r="M128" s="24">
        <f t="shared" si="3"/>
        <v>17.95</v>
      </c>
    </row>
    <row r="129" spans="1:13" ht="13.15" x14ac:dyDescent="0.4">
      <c r="A129" s="46" t="s">
        <v>8</v>
      </c>
      <c r="B129" s="16" t="str">
        <f t="array" ref="B129">_xlfn.XLOOKUP(A129,Trips[ID],Trips[Trip],"",0)</f>
        <v>ESV Shakira 2026</v>
      </c>
      <c r="C129" s="48" t="s">
        <v>113</v>
      </c>
      <c r="D129" s="50">
        <v>46060</v>
      </c>
      <c r="E129" s="53" t="s">
        <v>37</v>
      </c>
      <c r="F129" s="48" t="s">
        <v>185</v>
      </c>
      <c r="G129" s="53" t="s">
        <v>18</v>
      </c>
      <c r="H129" s="20" t="s">
        <v>16</v>
      </c>
      <c r="I129" s="48" t="s">
        <v>35</v>
      </c>
      <c r="J129" s="70">
        <v>26.42</v>
      </c>
      <c r="K129" s="72">
        <v>15.95</v>
      </c>
      <c r="L129" s="22">
        <f t="shared" si="2"/>
        <v>421.399</v>
      </c>
      <c r="M129" s="24">
        <f t="shared" si="3"/>
        <v>15.95</v>
      </c>
    </row>
    <row r="130" spans="1:13" ht="13.15" x14ac:dyDescent="0.4">
      <c r="A130" s="46" t="s">
        <v>8</v>
      </c>
      <c r="B130" s="16" t="str">
        <f t="array" ref="B130">_xlfn.XLOOKUP(A130,Trips[ID],Trips[Trip],"",0)</f>
        <v>ESV Shakira 2026</v>
      </c>
      <c r="C130" s="47" t="s">
        <v>113</v>
      </c>
      <c r="D130" s="51">
        <v>46060</v>
      </c>
      <c r="E130" s="54" t="s">
        <v>37</v>
      </c>
      <c r="F130" s="47" t="s">
        <v>186</v>
      </c>
      <c r="G130" s="67" t="s">
        <v>21</v>
      </c>
      <c r="H130" s="20" t="s">
        <v>16</v>
      </c>
      <c r="I130" s="47" t="s">
        <v>35</v>
      </c>
      <c r="J130" s="70">
        <v>26.42</v>
      </c>
      <c r="K130" s="71">
        <v>2.99</v>
      </c>
      <c r="L130" s="22">
        <f t="shared" si="2"/>
        <v>78.995800000000017</v>
      </c>
      <c r="M130" s="24">
        <f t="shared" si="3"/>
        <v>2.99</v>
      </c>
    </row>
    <row r="131" spans="1:13" ht="13.15" x14ac:dyDescent="0.4">
      <c r="A131" s="46" t="s">
        <v>8</v>
      </c>
      <c r="B131" s="16" t="str">
        <f t="array" ref="B131">_xlfn.XLOOKUP(A131,Trips[ID],Trips[Trip],"",0)</f>
        <v>ESV Shakira 2026</v>
      </c>
      <c r="C131" s="48" t="s">
        <v>113</v>
      </c>
      <c r="D131" s="50">
        <v>46060</v>
      </c>
      <c r="E131" s="53" t="s">
        <v>37</v>
      </c>
      <c r="F131" s="48" t="s">
        <v>186</v>
      </c>
      <c r="G131" s="55" t="s">
        <v>16</v>
      </c>
      <c r="H131" s="20" t="s">
        <v>16</v>
      </c>
      <c r="I131" s="48" t="s">
        <v>35</v>
      </c>
      <c r="J131" s="70">
        <v>26.42</v>
      </c>
      <c r="K131" s="72">
        <v>2.99</v>
      </c>
      <c r="L131" s="22">
        <f t="shared" ref="L131:L194" si="4">IF(I131="$", J131, 1) * K131</f>
        <v>78.995800000000017</v>
      </c>
      <c r="M131" s="24">
        <f t="shared" ref="M131:M194" si="5">K131 / IF(I131="$", 1, J131)</f>
        <v>2.99</v>
      </c>
    </row>
    <row r="132" spans="1:13" ht="13.15" x14ac:dyDescent="0.4">
      <c r="A132" s="46" t="s">
        <v>8</v>
      </c>
      <c r="B132" s="16" t="str">
        <f t="array" ref="B132">_xlfn.XLOOKUP(A132,Trips[ID],Trips[Trip],"",0)</f>
        <v>ESV Shakira 2026</v>
      </c>
      <c r="C132" s="47" t="s">
        <v>113</v>
      </c>
      <c r="D132" s="51">
        <v>46060</v>
      </c>
      <c r="E132" s="54" t="s">
        <v>37</v>
      </c>
      <c r="F132" s="47" t="s">
        <v>186</v>
      </c>
      <c r="G132" s="69" t="s">
        <v>13</v>
      </c>
      <c r="H132" s="20" t="s">
        <v>16</v>
      </c>
      <c r="I132" s="47" t="s">
        <v>35</v>
      </c>
      <c r="J132" s="70">
        <v>26.42</v>
      </c>
      <c r="K132" s="71">
        <v>2.99</v>
      </c>
      <c r="L132" s="22">
        <f t="shared" si="4"/>
        <v>78.995800000000017</v>
      </c>
      <c r="M132" s="24">
        <f t="shared" si="5"/>
        <v>2.99</v>
      </c>
    </row>
    <row r="133" spans="1:13" ht="13.15" x14ac:dyDescent="0.4">
      <c r="A133" s="46" t="s">
        <v>8</v>
      </c>
      <c r="B133" s="16" t="str">
        <f t="array" ref="B133">_xlfn.XLOOKUP(A133,Trips[ID],Trips[Trip],"",0)</f>
        <v>ESV Shakira 2026</v>
      </c>
      <c r="C133" s="48" t="s">
        <v>113</v>
      </c>
      <c r="D133" s="50">
        <v>46060</v>
      </c>
      <c r="E133" s="53" t="s">
        <v>37</v>
      </c>
      <c r="F133" s="48" t="s">
        <v>187</v>
      </c>
      <c r="G133" s="61" t="s">
        <v>24</v>
      </c>
      <c r="H133" s="20" t="s">
        <v>16</v>
      </c>
      <c r="I133" s="48" t="s">
        <v>35</v>
      </c>
      <c r="J133" s="70">
        <v>26.42</v>
      </c>
      <c r="K133" s="72">
        <v>2.99</v>
      </c>
      <c r="L133" s="22">
        <f t="shared" si="4"/>
        <v>78.995800000000017</v>
      </c>
      <c r="M133" s="24">
        <f t="shared" si="5"/>
        <v>2.99</v>
      </c>
    </row>
    <row r="134" spans="1:13" ht="13.15" x14ac:dyDescent="0.4">
      <c r="A134" s="46" t="s">
        <v>8</v>
      </c>
      <c r="B134" s="16" t="str">
        <f t="array" ref="B134">_xlfn.XLOOKUP(A134,Trips[ID],Trips[Trip],"",0)</f>
        <v>ESV Shakira 2026</v>
      </c>
      <c r="C134" s="47" t="s">
        <v>113</v>
      </c>
      <c r="D134" s="51">
        <v>46060</v>
      </c>
      <c r="E134" s="54" t="s">
        <v>37</v>
      </c>
      <c r="F134" s="47" t="s">
        <v>188</v>
      </c>
      <c r="G134" s="54" t="s">
        <v>18</v>
      </c>
      <c r="H134" s="20" t="s">
        <v>16</v>
      </c>
      <c r="I134" s="47" t="s">
        <v>35</v>
      </c>
      <c r="J134" s="70">
        <v>26.42</v>
      </c>
      <c r="K134" s="71">
        <v>3.75</v>
      </c>
      <c r="L134" s="22">
        <f t="shared" si="4"/>
        <v>99.075000000000003</v>
      </c>
      <c r="M134" s="24">
        <f t="shared" si="5"/>
        <v>3.75</v>
      </c>
    </row>
    <row r="135" spans="1:13" ht="13.15" x14ac:dyDescent="0.4">
      <c r="A135" s="46" t="s">
        <v>8</v>
      </c>
      <c r="B135" s="16" t="str">
        <f t="array" ref="B135">_xlfn.XLOOKUP(A135,Trips[ID],Trips[Trip],"",0)</f>
        <v>ESV Shakira 2026</v>
      </c>
      <c r="C135" s="48" t="s">
        <v>113</v>
      </c>
      <c r="D135" s="50">
        <v>46060</v>
      </c>
      <c r="E135" s="53" t="s">
        <v>37</v>
      </c>
      <c r="F135" s="48" t="s">
        <v>189</v>
      </c>
      <c r="G135" s="68" t="s">
        <v>9</v>
      </c>
      <c r="H135" s="20" t="s">
        <v>16</v>
      </c>
      <c r="I135" s="48" t="s">
        <v>35</v>
      </c>
      <c r="J135" s="70">
        <v>26.42</v>
      </c>
      <c r="K135" s="72">
        <v>2.75</v>
      </c>
      <c r="L135" s="22">
        <f t="shared" si="4"/>
        <v>72.655000000000001</v>
      </c>
      <c r="M135" s="24">
        <f t="shared" si="5"/>
        <v>2.75</v>
      </c>
    </row>
    <row r="136" spans="1:13" ht="13.15" x14ac:dyDescent="0.4">
      <c r="A136" s="46" t="s">
        <v>8</v>
      </c>
      <c r="B136" s="16" t="str">
        <f t="array" ref="B136">_xlfn.XLOOKUP(A136,Trips[ID],Trips[Trip],"",0)</f>
        <v>ESV Shakira 2026</v>
      </c>
      <c r="C136" s="47" t="s">
        <v>113</v>
      </c>
      <c r="D136" s="51">
        <v>46060</v>
      </c>
      <c r="E136" s="54" t="s">
        <v>37</v>
      </c>
      <c r="F136" s="47" t="s">
        <v>180</v>
      </c>
      <c r="G136" s="64" t="s">
        <v>9</v>
      </c>
      <c r="H136" s="20" t="s">
        <v>16</v>
      </c>
      <c r="I136" s="47" t="s">
        <v>35</v>
      </c>
      <c r="J136" s="70">
        <v>26.42</v>
      </c>
      <c r="K136" s="71">
        <v>9.23</v>
      </c>
      <c r="L136" s="22">
        <f t="shared" si="4"/>
        <v>243.85660000000001</v>
      </c>
      <c r="M136" s="24">
        <f t="shared" si="5"/>
        <v>9.23</v>
      </c>
    </row>
    <row r="137" spans="1:13" ht="13.15" x14ac:dyDescent="0.4">
      <c r="A137" s="46" t="s">
        <v>8</v>
      </c>
      <c r="B137" s="16" t="str">
        <f t="array" ref="B137">_xlfn.XLOOKUP(A137,Trips[ID],Trips[Trip],"",0)</f>
        <v>ESV Shakira 2026</v>
      </c>
      <c r="C137" s="48" t="s">
        <v>114</v>
      </c>
      <c r="D137" s="50">
        <v>46060</v>
      </c>
      <c r="E137" s="55" t="s">
        <v>124</v>
      </c>
      <c r="F137" s="48" t="s">
        <v>190</v>
      </c>
      <c r="G137" s="65" t="s">
        <v>13</v>
      </c>
      <c r="H137" s="20" t="s">
        <v>16</v>
      </c>
      <c r="I137" s="48" t="s">
        <v>35</v>
      </c>
      <c r="J137" s="70">
        <v>26.42</v>
      </c>
      <c r="K137" s="72">
        <v>8.9499999999999993</v>
      </c>
      <c r="L137" s="22">
        <f t="shared" si="4"/>
        <v>236.459</v>
      </c>
      <c r="M137" s="24">
        <f t="shared" si="5"/>
        <v>8.9499999999999993</v>
      </c>
    </row>
    <row r="138" spans="1:13" ht="13.15" x14ac:dyDescent="0.4">
      <c r="A138" s="46" t="s">
        <v>8</v>
      </c>
      <c r="B138" s="16" t="str">
        <f t="array" ref="B138">_xlfn.XLOOKUP(A138,Trips[ID],Trips[Trip],"",0)</f>
        <v>ESV Shakira 2026</v>
      </c>
      <c r="C138" s="47" t="s">
        <v>115</v>
      </c>
      <c r="D138" s="51">
        <v>46060</v>
      </c>
      <c r="E138" s="57" t="s">
        <v>125</v>
      </c>
      <c r="F138" s="47" t="s">
        <v>191</v>
      </c>
      <c r="G138" s="56" t="s">
        <v>16</v>
      </c>
      <c r="H138" s="20" t="s">
        <v>16</v>
      </c>
      <c r="I138" s="47" t="s">
        <v>35</v>
      </c>
      <c r="J138" s="70">
        <v>26.42</v>
      </c>
      <c r="K138" s="71">
        <v>3</v>
      </c>
      <c r="L138" s="22">
        <f t="shared" si="4"/>
        <v>79.260000000000005</v>
      </c>
      <c r="M138" s="24">
        <f t="shared" si="5"/>
        <v>3</v>
      </c>
    </row>
    <row r="139" spans="1:13" ht="13.15" x14ac:dyDescent="0.4">
      <c r="A139" s="46" t="s">
        <v>8</v>
      </c>
      <c r="B139" s="16" t="str">
        <f t="array" ref="B139">_xlfn.XLOOKUP(A139,Trips[ID],Trips[Trip],"",0)</f>
        <v>ESV Shakira 2026</v>
      </c>
      <c r="C139" s="48" t="s">
        <v>115</v>
      </c>
      <c r="D139" s="50">
        <v>46060</v>
      </c>
      <c r="E139" s="58" t="s">
        <v>125</v>
      </c>
      <c r="F139" s="48" t="s">
        <v>192</v>
      </c>
      <c r="G139" s="65" t="s">
        <v>13</v>
      </c>
      <c r="H139" s="20" t="s">
        <v>16</v>
      </c>
      <c r="I139" s="48" t="s">
        <v>35</v>
      </c>
      <c r="J139" s="70">
        <v>26.42</v>
      </c>
      <c r="K139" s="72">
        <v>1.9</v>
      </c>
      <c r="L139" s="22">
        <f t="shared" si="4"/>
        <v>50.198</v>
      </c>
      <c r="M139" s="24">
        <f t="shared" si="5"/>
        <v>1.9</v>
      </c>
    </row>
    <row r="140" spans="1:13" ht="13.15" x14ac:dyDescent="0.4">
      <c r="A140" s="46" t="s">
        <v>8</v>
      </c>
      <c r="B140" s="16" t="str">
        <f t="array" ref="B140">_xlfn.XLOOKUP(A140,Trips[ID],Trips[Trip],"",0)</f>
        <v>ESV Shakira 2026</v>
      </c>
      <c r="C140" s="47" t="s">
        <v>115</v>
      </c>
      <c r="D140" s="51">
        <v>46060</v>
      </c>
      <c r="E140" s="57" t="s">
        <v>125</v>
      </c>
      <c r="F140" s="47" t="s">
        <v>193</v>
      </c>
      <c r="G140" s="69" t="s">
        <v>13</v>
      </c>
      <c r="H140" s="20" t="s">
        <v>16</v>
      </c>
      <c r="I140" s="47" t="s">
        <v>35</v>
      </c>
      <c r="J140" s="70">
        <v>26.42</v>
      </c>
      <c r="K140" s="71">
        <v>0.85</v>
      </c>
      <c r="L140" s="22">
        <f t="shared" si="4"/>
        <v>22.457000000000001</v>
      </c>
      <c r="M140" s="24">
        <f t="shared" si="5"/>
        <v>0.85</v>
      </c>
    </row>
    <row r="141" spans="1:13" ht="13.15" x14ac:dyDescent="0.4">
      <c r="A141" s="46" t="s">
        <v>8</v>
      </c>
      <c r="B141" s="16" t="str">
        <f t="array" ref="B141">_xlfn.XLOOKUP(A141,Trips[ID],Trips[Trip],"",0)</f>
        <v>ESV Shakira 2026</v>
      </c>
      <c r="C141" s="48" t="s">
        <v>115</v>
      </c>
      <c r="D141" s="50">
        <v>46060</v>
      </c>
      <c r="E141" s="58" t="s">
        <v>125</v>
      </c>
      <c r="F141" s="48" t="s">
        <v>194</v>
      </c>
      <c r="G141" s="55" t="s">
        <v>16</v>
      </c>
      <c r="H141" s="20" t="s">
        <v>16</v>
      </c>
      <c r="I141" s="48" t="s">
        <v>35</v>
      </c>
      <c r="J141" s="70">
        <v>26.42</v>
      </c>
      <c r="K141" s="72">
        <v>7.15</v>
      </c>
      <c r="L141" s="22">
        <f t="shared" si="4"/>
        <v>188.90300000000002</v>
      </c>
      <c r="M141" s="24">
        <f t="shared" si="5"/>
        <v>7.15</v>
      </c>
    </row>
    <row r="142" spans="1:13" ht="13.15" x14ac:dyDescent="0.4">
      <c r="A142" s="46" t="s">
        <v>8</v>
      </c>
      <c r="B142" s="16" t="str">
        <f t="array" ref="B142">_xlfn.XLOOKUP(A142,Trips[ID],Trips[Trip],"",0)</f>
        <v>ESV Shakira 2026</v>
      </c>
      <c r="C142" s="47" t="s">
        <v>115</v>
      </c>
      <c r="D142" s="51">
        <v>46060</v>
      </c>
      <c r="E142" s="57" t="s">
        <v>125</v>
      </c>
      <c r="F142" s="47" t="s">
        <v>195</v>
      </c>
      <c r="G142" s="59" t="s">
        <v>24</v>
      </c>
      <c r="H142" s="20" t="s">
        <v>16</v>
      </c>
      <c r="I142" s="47" t="s">
        <v>35</v>
      </c>
      <c r="J142" s="70">
        <v>26.42</v>
      </c>
      <c r="K142" s="71">
        <v>1.85</v>
      </c>
      <c r="L142" s="22">
        <f t="shared" si="4"/>
        <v>48.877000000000002</v>
      </c>
      <c r="M142" s="24">
        <f t="shared" si="5"/>
        <v>1.85</v>
      </c>
    </row>
    <row r="143" spans="1:13" ht="13.15" x14ac:dyDescent="0.4">
      <c r="A143" s="46" t="s">
        <v>8</v>
      </c>
      <c r="B143" s="16" t="str">
        <f t="array" ref="B143">_xlfn.XLOOKUP(A143,Trips[ID],Trips[Trip],"",0)</f>
        <v>ESV Shakira 2026</v>
      </c>
      <c r="C143" s="48" t="s">
        <v>116</v>
      </c>
      <c r="D143" s="50">
        <v>46060</v>
      </c>
      <c r="E143" s="53" t="s">
        <v>37</v>
      </c>
      <c r="F143" s="48" t="s">
        <v>196</v>
      </c>
      <c r="G143" s="65" t="s">
        <v>13</v>
      </c>
      <c r="H143" s="20" t="s">
        <v>16</v>
      </c>
      <c r="I143" s="48" t="s">
        <v>35</v>
      </c>
      <c r="J143" s="70">
        <v>26.42</v>
      </c>
      <c r="K143" s="72">
        <v>2.5</v>
      </c>
      <c r="L143" s="22">
        <f t="shared" si="4"/>
        <v>66.050000000000011</v>
      </c>
      <c r="M143" s="24">
        <f t="shared" si="5"/>
        <v>2.5</v>
      </c>
    </row>
    <row r="144" spans="1:13" ht="13.15" x14ac:dyDescent="0.4">
      <c r="A144" s="46" t="s">
        <v>8</v>
      </c>
      <c r="B144" s="16" t="str">
        <f t="array" ref="B144">_xlfn.XLOOKUP(A144,Trips[ID],Trips[Trip],"",0)</f>
        <v>ESV Shakira 2026</v>
      </c>
      <c r="C144" s="47" t="s">
        <v>116</v>
      </c>
      <c r="D144" s="51">
        <v>46060</v>
      </c>
      <c r="E144" s="54" t="s">
        <v>37</v>
      </c>
      <c r="F144" s="47" t="s">
        <v>197</v>
      </c>
      <c r="G144" s="67" t="s">
        <v>21</v>
      </c>
      <c r="H144" s="20" t="s">
        <v>16</v>
      </c>
      <c r="I144" s="47" t="s">
        <v>35</v>
      </c>
      <c r="J144" s="70">
        <v>26.42</v>
      </c>
      <c r="K144" s="71">
        <v>3</v>
      </c>
      <c r="L144" s="22">
        <f t="shared" si="4"/>
        <v>79.260000000000005</v>
      </c>
      <c r="M144" s="24">
        <f t="shared" si="5"/>
        <v>3</v>
      </c>
    </row>
    <row r="145" spans="1:13" ht="13.15" x14ac:dyDescent="0.4">
      <c r="A145" s="46" t="s">
        <v>8</v>
      </c>
      <c r="B145" s="16" t="str">
        <f t="array" ref="B145">_xlfn.XLOOKUP(A145,Trips[ID],Trips[Trip],"",0)</f>
        <v>ESV Shakira 2026</v>
      </c>
      <c r="C145" s="48" t="s">
        <v>116</v>
      </c>
      <c r="D145" s="50">
        <v>46060</v>
      </c>
      <c r="E145" s="53" t="s">
        <v>37</v>
      </c>
      <c r="F145" s="48" t="s">
        <v>197</v>
      </c>
      <c r="G145" s="53" t="s">
        <v>18</v>
      </c>
      <c r="H145" s="20" t="s">
        <v>16</v>
      </c>
      <c r="I145" s="48" t="s">
        <v>35</v>
      </c>
      <c r="J145" s="70">
        <v>26.42</v>
      </c>
      <c r="K145" s="72">
        <v>3</v>
      </c>
      <c r="L145" s="22">
        <f t="shared" si="4"/>
        <v>79.260000000000005</v>
      </c>
      <c r="M145" s="24">
        <f t="shared" si="5"/>
        <v>3</v>
      </c>
    </row>
    <row r="146" spans="1:13" ht="13.15" x14ac:dyDescent="0.4">
      <c r="A146" s="46" t="s">
        <v>8</v>
      </c>
      <c r="B146" s="16" t="str">
        <f t="array" ref="B146">_xlfn.XLOOKUP(A146,Trips[ID],Trips[Trip],"",0)</f>
        <v>ESV Shakira 2026</v>
      </c>
      <c r="C146" s="47" t="s">
        <v>116</v>
      </c>
      <c r="D146" s="51">
        <v>46060</v>
      </c>
      <c r="E146" s="54" t="s">
        <v>37</v>
      </c>
      <c r="F146" s="47" t="s">
        <v>197</v>
      </c>
      <c r="G146" s="56" t="s">
        <v>16</v>
      </c>
      <c r="H146" s="20" t="s">
        <v>16</v>
      </c>
      <c r="I146" s="47" t="s">
        <v>35</v>
      </c>
      <c r="J146" s="70">
        <v>26.42</v>
      </c>
      <c r="K146" s="71">
        <v>3</v>
      </c>
      <c r="L146" s="22">
        <f t="shared" si="4"/>
        <v>79.260000000000005</v>
      </c>
      <c r="M146" s="24">
        <f t="shared" si="5"/>
        <v>3</v>
      </c>
    </row>
    <row r="147" spans="1:13" ht="13.15" x14ac:dyDescent="0.4">
      <c r="A147" s="46" t="s">
        <v>8</v>
      </c>
      <c r="B147" s="16" t="str">
        <f t="array" ref="B147">_xlfn.XLOOKUP(A147,Trips[ID],Trips[Trip],"",0)</f>
        <v>ESV Shakira 2026</v>
      </c>
      <c r="C147" s="48" t="s">
        <v>116</v>
      </c>
      <c r="D147" s="50">
        <v>46060</v>
      </c>
      <c r="E147" s="53" t="s">
        <v>46</v>
      </c>
      <c r="F147" s="48" t="s">
        <v>198</v>
      </c>
      <c r="G147" s="68" t="s">
        <v>9</v>
      </c>
      <c r="H147" s="20" t="s">
        <v>16</v>
      </c>
      <c r="I147" s="48" t="s">
        <v>35</v>
      </c>
      <c r="J147" s="70">
        <v>26.42</v>
      </c>
      <c r="K147" s="72">
        <v>2.1</v>
      </c>
      <c r="L147" s="22">
        <f t="shared" si="4"/>
        <v>55.482000000000006</v>
      </c>
      <c r="M147" s="24">
        <f t="shared" si="5"/>
        <v>2.1</v>
      </c>
    </row>
    <row r="148" spans="1:13" ht="13.15" x14ac:dyDescent="0.4">
      <c r="A148" s="46" t="s">
        <v>8</v>
      </c>
      <c r="B148" s="16" t="str">
        <f t="array" ref="B148">_xlfn.XLOOKUP(A148,Trips[ID],Trips[Trip],"",0)</f>
        <v>ESV Shakira 2026</v>
      </c>
      <c r="C148" s="47" t="s">
        <v>116</v>
      </c>
      <c r="D148" s="51">
        <v>46060</v>
      </c>
      <c r="E148" s="54" t="s">
        <v>46</v>
      </c>
      <c r="F148" s="47" t="s">
        <v>199</v>
      </c>
      <c r="G148" s="67" t="s">
        <v>21</v>
      </c>
      <c r="H148" s="20" t="s">
        <v>16</v>
      </c>
      <c r="I148" s="47" t="s">
        <v>35</v>
      </c>
      <c r="J148" s="70">
        <v>26.42</v>
      </c>
      <c r="K148" s="71">
        <v>0.65</v>
      </c>
      <c r="L148" s="22">
        <f t="shared" si="4"/>
        <v>17.173000000000002</v>
      </c>
      <c r="M148" s="24">
        <f t="shared" si="5"/>
        <v>0.65</v>
      </c>
    </row>
    <row r="149" spans="1:13" ht="13.15" x14ac:dyDescent="0.4">
      <c r="A149" s="46" t="s">
        <v>8</v>
      </c>
      <c r="B149" s="16" t="str">
        <f t="array" ref="B149">_xlfn.XLOOKUP(A149,Trips[ID],Trips[Trip],"",0)</f>
        <v>ESV Shakira 2026</v>
      </c>
      <c r="C149" s="48" t="s">
        <v>116</v>
      </c>
      <c r="D149" s="50">
        <v>46060</v>
      </c>
      <c r="E149" s="53" t="s">
        <v>46</v>
      </c>
      <c r="F149" s="48" t="s">
        <v>199</v>
      </c>
      <c r="G149" s="65" t="s">
        <v>13</v>
      </c>
      <c r="H149" s="20" t="s">
        <v>16</v>
      </c>
      <c r="I149" s="48" t="s">
        <v>35</v>
      </c>
      <c r="J149" s="70">
        <v>26.42</v>
      </c>
      <c r="K149" s="72">
        <v>0.65</v>
      </c>
      <c r="L149" s="22">
        <f t="shared" si="4"/>
        <v>17.173000000000002</v>
      </c>
      <c r="M149" s="24">
        <f t="shared" si="5"/>
        <v>0.65</v>
      </c>
    </row>
    <row r="150" spans="1:13" ht="13.15" x14ac:dyDescent="0.4">
      <c r="A150" s="46" t="s">
        <v>8</v>
      </c>
      <c r="B150" s="16" t="str">
        <f t="array" ref="B150">_xlfn.XLOOKUP(A150,Trips[ID],Trips[Trip],"",0)</f>
        <v>ESV Shakira 2026</v>
      </c>
      <c r="C150" s="47" t="s">
        <v>116</v>
      </c>
      <c r="D150" s="51">
        <v>46060</v>
      </c>
      <c r="E150" s="54" t="s">
        <v>46</v>
      </c>
      <c r="F150" s="47" t="s">
        <v>199</v>
      </c>
      <c r="G150" s="56" t="s">
        <v>16</v>
      </c>
      <c r="H150" s="20" t="s">
        <v>16</v>
      </c>
      <c r="I150" s="47" t="s">
        <v>35</v>
      </c>
      <c r="J150" s="70">
        <v>26.42</v>
      </c>
      <c r="K150" s="71">
        <v>0.65</v>
      </c>
      <c r="L150" s="22">
        <f t="shared" si="4"/>
        <v>17.173000000000002</v>
      </c>
      <c r="M150" s="24">
        <f t="shared" si="5"/>
        <v>0.65</v>
      </c>
    </row>
    <row r="151" spans="1:13" ht="13.15" x14ac:dyDescent="0.4">
      <c r="A151" s="46" t="s">
        <v>8</v>
      </c>
      <c r="B151" s="16" t="str">
        <f t="array" ref="B151">_xlfn.XLOOKUP(A151,Trips[ID],Trips[Trip],"",0)</f>
        <v>ESV Shakira 2026</v>
      </c>
      <c r="C151" s="48" t="s">
        <v>116</v>
      </c>
      <c r="D151" s="50">
        <v>46060</v>
      </c>
      <c r="E151" s="53" t="s">
        <v>46</v>
      </c>
      <c r="F151" s="48" t="s">
        <v>199</v>
      </c>
      <c r="G151" s="53" t="s">
        <v>18</v>
      </c>
      <c r="H151" s="20" t="s">
        <v>16</v>
      </c>
      <c r="I151" s="48" t="s">
        <v>35</v>
      </c>
      <c r="J151" s="70">
        <v>26.42</v>
      </c>
      <c r="K151" s="72">
        <v>0.65</v>
      </c>
      <c r="L151" s="22">
        <f t="shared" si="4"/>
        <v>17.173000000000002</v>
      </c>
      <c r="M151" s="24">
        <f t="shared" si="5"/>
        <v>0.65</v>
      </c>
    </row>
    <row r="152" spans="1:13" ht="13.15" x14ac:dyDescent="0.4">
      <c r="A152" s="46" t="s">
        <v>8</v>
      </c>
      <c r="B152" s="16" t="str">
        <f t="array" ref="B152">_xlfn.XLOOKUP(A152,Trips[ID],Trips[Trip],"",0)</f>
        <v>ESV Shakira 2026</v>
      </c>
      <c r="C152" s="47" t="s">
        <v>116</v>
      </c>
      <c r="D152" s="51">
        <v>46060</v>
      </c>
      <c r="E152" s="54" t="s">
        <v>46</v>
      </c>
      <c r="F152" s="47" t="s">
        <v>199</v>
      </c>
      <c r="G152" s="59" t="s">
        <v>24</v>
      </c>
      <c r="H152" s="20" t="s">
        <v>16</v>
      </c>
      <c r="I152" s="47" t="s">
        <v>35</v>
      </c>
      <c r="J152" s="70">
        <v>26.42</v>
      </c>
      <c r="K152" s="71">
        <v>0.65</v>
      </c>
      <c r="L152" s="22">
        <f t="shared" si="4"/>
        <v>17.173000000000002</v>
      </c>
      <c r="M152" s="24">
        <f t="shared" si="5"/>
        <v>0.65</v>
      </c>
    </row>
    <row r="153" spans="1:13" ht="13.15" x14ac:dyDescent="0.4">
      <c r="A153" s="46" t="s">
        <v>8</v>
      </c>
      <c r="B153" s="16" t="str">
        <f t="array" ref="B153">_xlfn.XLOOKUP(A153,Trips[ID],Trips[Trip],"",0)</f>
        <v>ESV Shakira 2026</v>
      </c>
      <c r="C153" s="48" t="s">
        <v>116</v>
      </c>
      <c r="D153" s="50">
        <v>46060</v>
      </c>
      <c r="E153" s="53" t="s">
        <v>46</v>
      </c>
      <c r="F153" s="48" t="s">
        <v>142</v>
      </c>
      <c r="G153" s="65" t="s">
        <v>13</v>
      </c>
      <c r="H153" s="20" t="s">
        <v>16</v>
      </c>
      <c r="I153" s="48" t="s">
        <v>35</v>
      </c>
      <c r="J153" s="70">
        <v>26.42</v>
      </c>
      <c r="K153" s="72">
        <v>7.55</v>
      </c>
      <c r="L153" s="22">
        <f t="shared" si="4"/>
        <v>199.471</v>
      </c>
      <c r="M153" s="24">
        <f t="shared" si="5"/>
        <v>7.55</v>
      </c>
    </row>
    <row r="154" spans="1:13" ht="13.15" x14ac:dyDescent="0.4">
      <c r="A154" s="46" t="s">
        <v>8</v>
      </c>
      <c r="B154" s="16" t="str">
        <f t="array" ref="B154">_xlfn.XLOOKUP(A154,Trips[ID],Trips[Trip],"",0)</f>
        <v>ESV Shakira 2026</v>
      </c>
      <c r="C154" s="47" t="s">
        <v>116</v>
      </c>
      <c r="D154" s="51">
        <v>46060</v>
      </c>
      <c r="E154" s="54" t="s">
        <v>46</v>
      </c>
      <c r="F154" s="47" t="s">
        <v>200</v>
      </c>
      <c r="G154" s="54" t="s">
        <v>18</v>
      </c>
      <c r="H154" s="20" t="s">
        <v>16</v>
      </c>
      <c r="I154" s="47" t="s">
        <v>35</v>
      </c>
      <c r="J154" s="70">
        <v>26.42</v>
      </c>
      <c r="K154" s="71">
        <v>0.9</v>
      </c>
      <c r="L154" s="22">
        <f t="shared" si="4"/>
        <v>23.778000000000002</v>
      </c>
      <c r="M154" s="24">
        <f t="shared" si="5"/>
        <v>0.9</v>
      </c>
    </row>
    <row r="155" spans="1:13" ht="13.15" x14ac:dyDescent="0.4">
      <c r="A155" s="46" t="s">
        <v>8</v>
      </c>
      <c r="B155" s="16" t="str">
        <f t="array" ref="B155">_xlfn.XLOOKUP(A155,Trips[ID],Trips[Trip],"",0)</f>
        <v>ESV Shakira 2026</v>
      </c>
      <c r="C155" s="48" t="s">
        <v>116</v>
      </c>
      <c r="D155" s="50">
        <v>46060</v>
      </c>
      <c r="E155" s="53" t="s">
        <v>46</v>
      </c>
      <c r="F155" s="48" t="s">
        <v>201</v>
      </c>
      <c r="G155" s="61" t="s">
        <v>24</v>
      </c>
      <c r="H155" s="20" t="s">
        <v>16</v>
      </c>
      <c r="I155" s="48" t="s">
        <v>35</v>
      </c>
      <c r="J155" s="70">
        <v>26.42</v>
      </c>
      <c r="K155" s="72">
        <v>1.05</v>
      </c>
      <c r="L155" s="22">
        <f t="shared" si="4"/>
        <v>27.741000000000003</v>
      </c>
      <c r="M155" s="24">
        <f t="shared" si="5"/>
        <v>1.05</v>
      </c>
    </row>
    <row r="156" spans="1:13" ht="13.15" x14ac:dyDescent="0.4">
      <c r="A156" s="46" t="s">
        <v>8</v>
      </c>
      <c r="B156" s="16" t="str">
        <f t="array" ref="B156">_xlfn.XLOOKUP(A156,Trips[ID],Trips[Trip],"",0)</f>
        <v>ESV Shakira 2026</v>
      </c>
      <c r="C156" s="47" t="s">
        <v>116</v>
      </c>
      <c r="D156" s="51">
        <v>46060</v>
      </c>
      <c r="E156" s="54" t="s">
        <v>46</v>
      </c>
      <c r="F156" s="47" t="s">
        <v>202</v>
      </c>
      <c r="G156" s="54" t="s">
        <v>18</v>
      </c>
      <c r="H156" s="20" t="s">
        <v>16</v>
      </c>
      <c r="I156" s="47" t="s">
        <v>35</v>
      </c>
      <c r="J156" s="70">
        <v>26.42</v>
      </c>
      <c r="K156" s="71">
        <v>0.5</v>
      </c>
      <c r="L156" s="22">
        <f t="shared" si="4"/>
        <v>13.21</v>
      </c>
      <c r="M156" s="24">
        <f t="shared" si="5"/>
        <v>0.5</v>
      </c>
    </row>
    <row r="157" spans="1:13" ht="13.15" x14ac:dyDescent="0.4">
      <c r="A157" s="46" t="s">
        <v>8</v>
      </c>
      <c r="B157" s="16" t="str">
        <f t="array" ref="B157">_xlfn.XLOOKUP(A157,Trips[ID],Trips[Trip],"",0)</f>
        <v>ESV Shakira 2026</v>
      </c>
      <c r="C157" s="48" t="s">
        <v>117</v>
      </c>
      <c r="D157" s="50">
        <v>46060</v>
      </c>
      <c r="E157" s="53" t="s">
        <v>46</v>
      </c>
      <c r="F157" s="48" t="s">
        <v>203</v>
      </c>
      <c r="G157" s="68" t="s">
        <v>9</v>
      </c>
      <c r="H157" s="20" t="s">
        <v>16</v>
      </c>
      <c r="I157" s="48" t="s">
        <v>35</v>
      </c>
      <c r="J157" s="70">
        <v>26.42</v>
      </c>
      <c r="K157" s="72">
        <v>7.4</v>
      </c>
      <c r="L157" s="22">
        <f t="shared" si="4"/>
        <v>195.50800000000001</v>
      </c>
      <c r="M157" s="24">
        <f t="shared" si="5"/>
        <v>7.4</v>
      </c>
    </row>
    <row r="158" spans="1:13" ht="13.15" x14ac:dyDescent="0.4">
      <c r="A158" s="46" t="s">
        <v>8</v>
      </c>
      <c r="B158" s="16" t="str">
        <f t="array" ref="B158">_xlfn.XLOOKUP(A158,Trips[ID],Trips[Trip],"",0)</f>
        <v>ESV Shakira 2026</v>
      </c>
      <c r="C158" s="47" t="s">
        <v>117</v>
      </c>
      <c r="D158" s="51">
        <v>46060</v>
      </c>
      <c r="E158" s="59" t="s">
        <v>34</v>
      </c>
      <c r="F158" s="47" t="s">
        <v>204</v>
      </c>
      <c r="G158" s="64" t="s">
        <v>9</v>
      </c>
      <c r="H158" s="20" t="s">
        <v>16</v>
      </c>
      <c r="I158" s="47" t="s">
        <v>35</v>
      </c>
      <c r="J158" s="70">
        <v>26.42</v>
      </c>
      <c r="K158" s="71">
        <v>5</v>
      </c>
      <c r="L158" s="22">
        <f t="shared" si="4"/>
        <v>132.10000000000002</v>
      </c>
      <c r="M158" s="24">
        <f t="shared" si="5"/>
        <v>5</v>
      </c>
    </row>
    <row r="159" spans="1:13" ht="13.15" x14ac:dyDescent="0.4">
      <c r="A159" s="46" t="s">
        <v>8</v>
      </c>
      <c r="B159" s="16" t="str">
        <f t="array" ref="B159">_xlfn.XLOOKUP(A159,Trips[ID],Trips[Trip],"",0)</f>
        <v>ESV Shakira 2026</v>
      </c>
      <c r="C159" s="48" t="s">
        <v>117</v>
      </c>
      <c r="D159" s="50">
        <v>46060</v>
      </c>
      <c r="E159" s="53" t="s">
        <v>37</v>
      </c>
      <c r="F159" s="48" t="s">
        <v>205</v>
      </c>
      <c r="G159" s="66" t="s">
        <v>21</v>
      </c>
      <c r="H159" s="20" t="s">
        <v>16</v>
      </c>
      <c r="I159" s="48" t="s">
        <v>35</v>
      </c>
      <c r="J159" s="70">
        <v>26.42</v>
      </c>
      <c r="K159" s="72">
        <v>1.5</v>
      </c>
      <c r="L159" s="22">
        <f t="shared" si="4"/>
        <v>39.630000000000003</v>
      </c>
      <c r="M159" s="24">
        <f t="shared" si="5"/>
        <v>1.5</v>
      </c>
    </row>
    <row r="160" spans="1:13" ht="13.15" x14ac:dyDescent="0.4">
      <c r="A160" s="46" t="s">
        <v>8</v>
      </c>
      <c r="B160" s="16" t="str">
        <f t="array" ref="B160">_xlfn.XLOOKUP(A160,Trips[ID],Trips[Trip],"",0)</f>
        <v>ESV Shakira 2026</v>
      </c>
      <c r="C160" s="47" t="s">
        <v>117</v>
      </c>
      <c r="D160" s="51">
        <v>46060</v>
      </c>
      <c r="E160" s="54" t="s">
        <v>37</v>
      </c>
      <c r="F160" s="47" t="s">
        <v>205</v>
      </c>
      <c r="G160" s="67" t="s">
        <v>21</v>
      </c>
      <c r="H160" s="20" t="s">
        <v>16</v>
      </c>
      <c r="I160" s="47" t="s">
        <v>35</v>
      </c>
      <c r="J160" s="70">
        <v>26.42</v>
      </c>
      <c r="K160" s="71">
        <v>1.5</v>
      </c>
      <c r="L160" s="22">
        <f t="shared" si="4"/>
        <v>39.630000000000003</v>
      </c>
      <c r="M160" s="24">
        <f t="shared" si="5"/>
        <v>1.5</v>
      </c>
    </row>
    <row r="161" spans="1:13" ht="13.15" x14ac:dyDescent="0.4">
      <c r="A161" s="46" t="s">
        <v>8</v>
      </c>
      <c r="B161" s="16" t="str">
        <f t="array" ref="B161">_xlfn.XLOOKUP(A161,Trips[ID],Trips[Trip],"",0)</f>
        <v>ESV Shakira 2026</v>
      </c>
      <c r="C161" s="48" t="s">
        <v>117</v>
      </c>
      <c r="D161" s="50">
        <v>46060</v>
      </c>
      <c r="E161" s="53" t="s">
        <v>37</v>
      </c>
      <c r="F161" s="48" t="s">
        <v>205</v>
      </c>
      <c r="G161" s="66" t="s">
        <v>21</v>
      </c>
      <c r="H161" s="20" t="s">
        <v>16</v>
      </c>
      <c r="I161" s="48" t="s">
        <v>35</v>
      </c>
      <c r="J161" s="70">
        <v>26.42</v>
      </c>
      <c r="K161" s="72">
        <v>1.5</v>
      </c>
      <c r="L161" s="22">
        <f t="shared" si="4"/>
        <v>39.630000000000003</v>
      </c>
      <c r="M161" s="24">
        <f t="shared" si="5"/>
        <v>1.5</v>
      </c>
    </row>
    <row r="162" spans="1:13" ht="13.15" x14ac:dyDescent="0.4">
      <c r="A162" s="46" t="s">
        <v>8</v>
      </c>
      <c r="B162" s="16" t="str">
        <f t="array" ref="B162">_xlfn.XLOOKUP(A162,Trips[ID],Trips[Trip],"",0)</f>
        <v>ESV Shakira 2026</v>
      </c>
      <c r="C162" s="47" t="s">
        <v>117</v>
      </c>
      <c r="D162" s="51">
        <v>46060</v>
      </c>
      <c r="E162" s="54" t="s">
        <v>37</v>
      </c>
      <c r="F162" s="47" t="s">
        <v>205</v>
      </c>
      <c r="G162" s="56" t="s">
        <v>16</v>
      </c>
      <c r="H162" s="20" t="s">
        <v>16</v>
      </c>
      <c r="I162" s="47" t="s">
        <v>35</v>
      </c>
      <c r="J162" s="70">
        <v>26.42</v>
      </c>
      <c r="K162" s="71">
        <v>1.5</v>
      </c>
      <c r="L162" s="22">
        <f t="shared" si="4"/>
        <v>39.630000000000003</v>
      </c>
      <c r="M162" s="24">
        <f t="shared" si="5"/>
        <v>1.5</v>
      </c>
    </row>
    <row r="163" spans="1:13" ht="13.15" x14ac:dyDescent="0.4">
      <c r="A163" s="46" t="s">
        <v>8</v>
      </c>
      <c r="B163" s="16" t="str">
        <f t="array" ref="B163">_xlfn.XLOOKUP(A163,Trips[ID],Trips[Trip],"",0)</f>
        <v>ESV Shakira 2026</v>
      </c>
      <c r="C163" s="48" t="s">
        <v>117</v>
      </c>
      <c r="D163" s="50">
        <v>46060</v>
      </c>
      <c r="E163" s="53" t="s">
        <v>37</v>
      </c>
      <c r="F163" s="48" t="s">
        <v>205</v>
      </c>
      <c r="G163" s="55" t="s">
        <v>16</v>
      </c>
      <c r="H163" s="20" t="s">
        <v>16</v>
      </c>
      <c r="I163" s="48" t="s">
        <v>35</v>
      </c>
      <c r="J163" s="70">
        <v>26.42</v>
      </c>
      <c r="K163" s="72">
        <v>1.5</v>
      </c>
      <c r="L163" s="22">
        <f t="shared" si="4"/>
        <v>39.630000000000003</v>
      </c>
      <c r="M163" s="24">
        <f t="shared" si="5"/>
        <v>1.5</v>
      </c>
    </row>
    <row r="164" spans="1:13" ht="13.15" x14ac:dyDescent="0.4">
      <c r="A164" s="46" t="s">
        <v>8</v>
      </c>
      <c r="B164" s="16" t="str">
        <f t="array" ref="B164">_xlfn.XLOOKUP(A164,Trips[ID],Trips[Trip],"",0)</f>
        <v>ESV Shakira 2026</v>
      </c>
      <c r="C164" s="47" t="s">
        <v>117</v>
      </c>
      <c r="D164" s="51">
        <v>46060</v>
      </c>
      <c r="E164" s="54" t="s">
        <v>37</v>
      </c>
      <c r="F164" s="47" t="s">
        <v>205</v>
      </c>
      <c r="G164" s="56" t="s">
        <v>16</v>
      </c>
      <c r="H164" s="20" t="s">
        <v>16</v>
      </c>
      <c r="I164" s="47" t="s">
        <v>35</v>
      </c>
      <c r="J164" s="70">
        <v>26.42</v>
      </c>
      <c r="K164" s="71">
        <v>1.5</v>
      </c>
      <c r="L164" s="22">
        <f t="shared" si="4"/>
        <v>39.630000000000003</v>
      </c>
      <c r="M164" s="24">
        <f t="shared" si="5"/>
        <v>1.5</v>
      </c>
    </row>
    <row r="165" spans="1:13" ht="13.15" x14ac:dyDescent="0.4">
      <c r="A165" s="46" t="s">
        <v>8</v>
      </c>
      <c r="B165" s="16" t="str">
        <f t="array" ref="B165">_xlfn.XLOOKUP(A165,Trips[ID],Trips[Trip],"",0)</f>
        <v>ESV Shakira 2026</v>
      </c>
      <c r="C165" s="48" t="s">
        <v>117</v>
      </c>
      <c r="D165" s="50">
        <v>46060</v>
      </c>
      <c r="E165" s="53" t="s">
        <v>37</v>
      </c>
      <c r="F165" s="48" t="s">
        <v>205</v>
      </c>
      <c r="G165" s="65" t="s">
        <v>13</v>
      </c>
      <c r="H165" s="20" t="s">
        <v>16</v>
      </c>
      <c r="I165" s="48" t="s">
        <v>35</v>
      </c>
      <c r="J165" s="70">
        <v>26.42</v>
      </c>
      <c r="K165" s="72">
        <v>1.5</v>
      </c>
      <c r="L165" s="22">
        <f t="shared" si="4"/>
        <v>39.630000000000003</v>
      </c>
      <c r="M165" s="24">
        <f t="shared" si="5"/>
        <v>1.5</v>
      </c>
    </row>
    <row r="166" spans="1:13" ht="13.15" x14ac:dyDescent="0.4">
      <c r="A166" s="46" t="s">
        <v>8</v>
      </c>
      <c r="B166" s="16" t="str">
        <f t="array" ref="B166">_xlfn.XLOOKUP(A166,Trips[ID],Trips[Trip],"",0)</f>
        <v>ESV Shakira 2026</v>
      </c>
      <c r="C166" s="47" t="s">
        <v>117</v>
      </c>
      <c r="D166" s="51">
        <v>46060</v>
      </c>
      <c r="E166" s="54" t="s">
        <v>37</v>
      </c>
      <c r="F166" s="47" t="s">
        <v>205</v>
      </c>
      <c r="G166" s="69" t="s">
        <v>13</v>
      </c>
      <c r="H166" s="20" t="s">
        <v>16</v>
      </c>
      <c r="I166" s="47" t="s">
        <v>35</v>
      </c>
      <c r="J166" s="70">
        <v>26.42</v>
      </c>
      <c r="K166" s="71">
        <v>1.5</v>
      </c>
      <c r="L166" s="22">
        <f t="shared" si="4"/>
        <v>39.630000000000003</v>
      </c>
      <c r="M166" s="24">
        <f t="shared" si="5"/>
        <v>1.5</v>
      </c>
    </row>
    <row r="167" spans="1:13" ht="13.15" x14ac:dyDescent="0.4">
      <c r="A167" s="46" t="s">
        <v>8</v>
      </c>
      <c r="B167" s="16" t="str">
        <f t="array" ref="B167">_xlfn.XLOOKUP(A167,Trips[ID],Trips[Trip],"",0)</f>
        <v>ESV Shakira 2026</v>
      </c>
      <c r="C167" s="48" t="s">
        <v>117</v>
      </c>
      <c r="D167" s="50">
        <v>46060</v>
      </c>
      <c r="E167" s="53" t="s">
        <v>37</v>
      </c>
      <c r="F167" s="48" t="s">
        <v>205</v>
      </c>
      <c r="G167" s="61" t="s">
        <v>24</v>
      </c>
      <c r="H167" s="20" t="s">
        <v>16</v>
      </c>
      <c r="I167" s="48" t="s">
        <v>35</v>
      </c>
      <c r="J167" s="70">
        <v>26.42</v>
      </c>
      <c r="K167" s="72">
        <v>1.5</v>
      </c>
      <c r="L167" s="22">
        <f t="shared" si="4"/>
        <v>39.630000000000003</v>
      </c>
      <c r="M167" s="24">
        <f t="shared" si="5"/>
        <v>1.5</v>
      </c>
    </row>
    <row r="168" spans="1:13" ht="13.15" x14ac:dyDescent="0.4">
      <c r="A168" s="46" t="s">
        <v>8</v>
      </c>
      <c r="B168" s="16" t="str">
        <f t="array" ref="B168">_xlfn.XLOOKUP(A168,Trips[ID],Trips[Trip],"",0)</f>
        <v>ESV Shakira 2026</v>
      </c>
      <c r="C168" s="47" t="s">
        <v>117</v>
      </c>
      <c r="D168" s="51">
        <v>46060</v>
      </c>
      <c r="E168" s="54" t="s">
        <v>37</v>
      </c>
      <c r="F168" s="47" t="s">
        <v>205</v>
      </c>
      <c r="G168" s="54" t="s">
        <v>18</v>
      </c>
      <c r="H168" s="20" t="s">
        <v>16</v>
      </c>
      <c r="I168" s="47" t="s">
        <v>35</v>
      </c>
      <c r="J168" s="70">
        <v>26.42</v>
      </c>
      <c r="K168" s="71">
        <v>1.5</v>
      </c>
      <c r="L168" s="22">
        <f t="shared" si="4"/>
        <v>39.630000000000003</v>
      </c>
      <c r="M168" s="24">
        <f t="shared" si="5"/>
        <v>1.5</v>
      </c>
    </row>
    <row r="169" spans="1:13" ht="13.15" x14ac:dyDescent="0.4">
      <c r="A169" s="46" t="s">
        <v>8</v>
      </c>
      <c r="B169" s="16" t="str">
        <f t="array" ref="B169">_xlfn.XLOOKUP(A169,Trips[ID],Trips[Trip],"",0)</f>
        <v>ESV Shakira 2026</v>
      </c>
      <c r="C169" s="48" t="s">
        <v>117</v>
      </c>
      <c r="D169" s="50">
        <v>46060</v>
      </c>
      <c r="E169" s="53" t="s">
        <v>37</v>
      </c>
      <c r="F169" s="48" t="s">
        <v>205</v>
      </c>
      <c r="G169" s="53" t="s">
        <v>18</v>
      </c>
      <c r="H169" s="20" t="s">
        <v>16</v>
      </c>
      <c r="I169" s="48" t="s">
        <v>35</v>
      </c>
      <c r="J169" s="70">
        <v>26.42</v>
      </c>
      <c r="K169" s="72">
        <v>1.25</v>
      </c>
      <c r="L169" s="22">
        <f t="shared" si="4"/>
        <v>33.025000000000006</v>
      </c>
      <c r="M169" s="24">
        <f t="shared" si="5"/>
        <v>1.25</v>
      </c>
    </row>
    <row r="170" spans="1:13" ht="13.15" x14ac:dyDescent="0.4">
      <c r="A170" s="46" t="s">
        <v>8</v>
      </c>
      <c r="B170" s="16" t="str">
        <f t="array" ref="B170">_xlfn.XLOOKUP(A170,Trips[ID],Trips[Trip],"",0)</f>
        <v>ESV Shakira 2026</v>
      </c>
      <c r="C170" s="47" t="s">
        <v>117</v>
      </c>
      <c r="D170" s="51">
        <v>46060</v>
      </c>
      <c r="E170" s="54" t="s">
        <v>37</v>
      </c>
      <c r="F170" s="47" t="s">
        <v>206</v>
      </c>
      <c r="G170" s="67" t="s">
        <v>21</v>
      </c>
      <c r="H170" s="20" t="s">
        <v>16</v>
      </c>
      <c r="I170" s="47" t="s">
        <v>35</v>
      </c>
      <c r="J170" s="70">
        <v>26.42</v>
      </c>
      <c r="K170" s="71">
        <v>1.25</v>
      </c>
      <c r="L170" s="22">
        <f t="shared" si="4"/>
        <v>33.025000000000006</v>
      </c>
      <c r="M170" s="24">
        <f t="shared" si="5"/>
        <v>1.25</v>
      </c>
    </row>
    <row r="171" spans="1:13" ht="13.15" x14ac:dyDescent="0.4">
      <c r="A171" s="46" t="s">
        <v>8</v>
      </c>
      <c r="B171" s="16" t="str">
        <f t="array" ref="B171">_xlfn.XLOOKUP(A171,Trips[ID],Trips[Trip],"",0)</f>
        <v>ESV Shakira 2026</v>
      </c>
      <c r="C171" s="48" t="s">
        <v>117</v>
      </c>
      <c r="D171" s="50">
        <v>46060</v>
      </c>
      <c r="E171" s="53" t="s">
        <v>37</v>
      </c>
      <c r="F171" s="48" t="s">
        <v>206</v>
      </c>
      <c r="G171" s="65" t="s">
        <v>13</v>
      </c>
      <c r="H171" s="20" t="s">
        <v>16</v>
      </c>
      <c r="I171" s="48" t="s">
        <v>35</v>
      </c>
      <c r="J171" s="70">
        <v>26.42</v>
      </c>
      <c r="K171" s="72">
        <v>1.25</v>
      </c>
      <c r="L171" s="22">
        <f t="shared" si="4"/>
        <v>33.025000000000006</v>
      </c>
      <c r="M171" s="24">
        <f t="shared" si="5"/>
        <v>1.25</v>
      </c>
    </row>
    <row r="172" spans="1:13" ht="13.15" x14ac:dyDescent="0.4">
      <c r="A172" s="46" t="s">
        <v>8</v>
      </c>
      <c r="B172" s="16" t="str">
        <f t="array" ref="B172">_xlfn.XLOOKUP(A172,Trips[ID],Trips[Trip],"",0)</f>
        <v>ESV Shakira 2026</v>
      </c>
      <c r="C172" s="47" t="s">
        <v>117</v>
      </c>
      <c r="D172" s="51">
        <v>46060</v>
      </c>
      <c r="E172" s="54" t="s">
        <v>37</v>
      </c>
      <c r="F172" s="47" t="s">
        <v>206</v>
      </c>
      <c r="G172" s="54" t="s">
        <v>18</v>
      </c>
      <c r="H172" s="20" t="s">
        <v>16</v>
      </c>
      <c r="I172" s="47" t="s">
        <v>35</v>
      </c>
      <c r="J172" s="70">
        <v>26.42</v>
      </c>
      <c r="K172" s="71">
        <v>1.25</v>
      </c>
      <c r="L172" s="22">
        <f t="shared" si="4"/>
        <v>33.025000000000006</v>
      </c>
      <c r="M172" s="24">
        <f t="shared" si="5"/>
        <v>1.25</v>
      </c>
    </row>
    <row r="173" spans="1:13" ht="13.15" x14ac:dyDescent="0.4">
      <c r="A173" s="46" t="s">
        <v>8</v>
      </c>
      <c r="B173" s="16" t="str">
        <f t="array" ref="B173">_xlfn.XLOOKUP(A173,Trips[ID],Trips[Trip],"",0)</f>
        <v>ESV Shakira 2026</v>
      </c>
      <c r="C173" s="48" t="s">
        <v>117</v>
      </c>
      <c r="D173" s="50">
        <v>46060</v>
      </c>
      <c r="E173" s="53" t="s">
        <v>37</v>
      </c>
      <c r="F173" s="48" t="s">
        <v>206</v>
      </c>
      <c r="G173" s="55" t="s">
        <v>16</v>
      </c>
      <c r="H173" s="20" t="s">
        <v>16</v>
      </c>
      <c r="I173" s="48" t="s">
        <v>35</v>
      </c>
      <c r="J173" s="70">
        <v>26.42</v>
      </c>
      <c r="K173" s="72">
        <v>1.25</v>
      </c>
      <c r="L173" s="22">
        <f t="shared" si="4"/>
        <v>33.025000000000006</v>
      </c>
      <c r="M173" s="24">
        <f t="shared" si="5"/>
        <v>1.25</v>
      </c>
    </row>
    <row r="174" spans="1:13" ht="13.15" x14ac:dyDescent="0.4">
      <c r="A174" s="46" t="s">
        <v>8</v>
      </c>
      <c r="B174" s="16" t="str">
        <f t="array" ref="B174">_xlfn.XLOOKUP(A174,Trips[ID],Trips[Trip],"",0)</f>
        <v>ESV Shakira 2026</v>
      </c>
      <c r="C174" s="47" t="s">
        <v>117</v>
      </c>
      <c r="D174" s="51">
        <v>46060</v>
      </c>
      <c r="E174" s="54" t="s">
        <v>37</v>
      </c>
      <c r="F174" s="47" t="s">
        <v>207</v>
      </c>
      <c r="G174" s="59" t="s">
        <v>24</v>
      </c>
      <c r="H174" s="20" t="s">
        <v>16</v>
      </c>
      <c r="I174" s="47" t="s">
        <v>35</v>
      </c>
      <c r="J174" s="70">
        <v>26.42</v>
      </c>
      <c r="K174" s="71">
        <v>2</v>
      </c>
      <c r="L174" s="22">
        <f t="shared" si="4"/>
        <v>52.84</v>
      </c>
      <c r="M174" s="24">
        <f t="shared" si="5"/>
        <v>2</v>
      </c>
    </row>
    <row r="175" spans="1:13" ht="13.15" x14ac:dyDescent="0.4">
      <c r="A175" s="46" t="s">
        <v>8</v>
      </c>
      <c r="B175" s="16" t="str">
        <f t="array" ref="B175">_xlfn.XLOOKUP(A175,Trips[ID],Trips[Trip],"",0)</f>
        <v>ESV Shakira 2026</v>
      </c>
      <c r="C175" s="48" t="s">
        <v>117</v>
      </c>
      <c r="D175" s="50">
        <v>46060</v>
      </c>
      <c r="E175" s="60" t="s">
        <v>65</v>
      </c>
      <c r="F175" s="48" t="s">
        <v>208</v>
      </c>
      <c r="G175" s="68" t="s">
        <v>9</v>
      </c>
      <c r="H175" s="20" t="s">
        <v>16</v>
      </c>
      <c r="I175" s="48" t="s">
        <v>35</v>
      </c>
      <c r="J175" s="70">
        <v>26.42</v>
      </c>
      <c r="K175" s="72">
        <v>25</v>
      </c>
      <c r="L175" s="22">
        <f t="shared" si="4"/>
        <v>660.5</v>
      </c>
      <c r="M175" s="24">
        <f t="shared" si="5"/>
        <v>25</v>
      </c>
    </row>
    <row r="176" spans="1:13" ht="13.15" x14ac:dyDescent="0.4">
      <c r="A176" s="46" t="s">
        <v>8</v>
      </c>
      <c r="B176" s="16" t="str">
        <f t="array" ref="B176">_xlfn.XLOOKUP(A176,Trips[ID],Trips[Trip],"",0)</f>
        <v>ESV Shakira 2026</v>
      </c>
      <c r="C176" s="47" t="s">
        <v>117</v>
      </c>
      <c r="D176" s="51">
        <v>46060</v>
      </c>
      <c r="E176" s="54" t="s">
        <v>37</v>
      </c>
      <c r="F176" s="47" t="s">
        <v>209</v>
      </c>
      <c r="G176" s="69" t="s">
        <v>13</v>
      </c>
      <c r="H176" s="20" t="s">
        <v>16</v>
      </c>
      <c r="I176" s="47" t="s">
        <v>35</v>
      </c>
      <c r="J176" s="70">
        <v>26.42</v>
      </c>
      <c r="K176" s="71">
        <v>8</v>
      </c>
      <c r="L176" s="22">
        <f t="shared" si="4"/>
        <v>211.36</v>
      </c>
      <c r="M176" s="24">
        <f t="shared" si="5"/>
        <v>8</v>
      </c>
    </row>
    <row r="177" spans="1:13" ht="13.15" x14ac:dyDescent="0.4">
      <c r="A177" s="46" t="s">
        <v>8</v>
      </c>
      <c r="B177" s="16" t="str">
        <f t="array" ref="B177">_xlfn.XLOOKUP(A177,Trips[ID],Trips[Trip],"",0)</f>
        <v>ESV Shakira 2026</v>
      </c>
      <c r="C177" s="48" t="s">
        <v>117</v>
      </c>
      <c r="D177" s="50">
        <v>46060</v>
      </c>
      <c r="E177" s="53" t="s">
        <v>37</v>
      </c>
      <c r="F177" s="48" t="s">
        <v>209</v>
      </c>
      <c r="G177" s="53" t="s">
        <v>18</v>
      </c>
      <c r="H177" s="20" t="s">
        <v>16</v>
      </c>
      <c r="I177" s="48" t="s">
        <v>35</v>
      </c>
      <c r="J177" s="70">
        <v>26.42</v>
      </c>
      <c r="K177" s="72">
        <v>5</v>
      </c>
      <c r="L177" s="22">
        <f t="shared" si="4"/>
        <v>132.10000000000002</v>
      </c>
      <c r="M177" s="24">
        <f t="shared" si="5"/>
        <v>5</v>
      </c>
    </row>
    <row r="178" spans="1:13" ht="13.15" x14ac:dyDescent="0.4">
      <c r="A178" s="46" t="s">
        <v>8</v>
      </c>
      <c r="B178" s="16" t="str">
        <f t="array" ref="B178">_xlfn.XLOOKUP(A178,Trips[ID],Trips[Trip],"",0)</f>
        <v>ESV Shakira 2026</v>
      </c>
      <c r="C178" s="47" t="s">
        <v>117</v>
      </c>
      <c r="D178" s="51">
        <v>46060</v>
      </c>
      <c r="E178" s="59" t="s">
        <v>34</v>
      </c>
      <c r="F178" s="47" t="s">
        <v>210</v>
      </c>
      <c r="G178" s="56" t="s">
        <v>16</v>
      </c>
      <c r="H178" s="20" t="s">
        <v>16</v>
      </c>
      <c r="I178" s="47" t="s">
        <v>35</v>
      </c>
      <c r="J178" s="70">
        <v>26.42</v>
      </c>
      <c r="K178" s="71">
        <v>1</v>
      </c>
      <c r="L178" s="22">
        <f t="shared" si="4"/>
        <v>26.42</v>
      </c>
      <c r="M178" s="24">
        <f t="shared" si="5"/>
        <v>1</v>
      </c>
    </row>
    <row r="179" spans="1:13" ht="13.15" x14ac:dyDescent="0.4">
      <c r="A179" s="46" t="s">
        <v>8</v>
      </c>
      <c r="B179" s="16" t="str">
        <f t="array" ref="B179">_xlfn.XLOOKUP(A179,Trips[ID],Trips[Trip],"",0)</f>
        <v>ESV Shakira 2026</v>
      </c>
      <c r="C179" s="48" t="s">
        <v>117</v>
      </c>
      <c r="D179" s="50">
        <v>46060</v>
      </c>
      <c r="E179" s="61" t="s">
        <v>34</v>
      </c>
      <c r="F179" s="48" t="s">
        <v>210</v>
      </c>
      <c r="G179" s="65" t="s">
        <v>13</v>
      </c>
      <c r="H179" s="20" t="s">
        <v>16</v>
      </c>
      <c r="I179" s="48" t="s">
        <v>35</v>
      </c>
      <c r="J179" s="70">
        <v>26.42</v>
      </c>
      <c r="K179" s="72">
        <v>1</v>
      </c>
      <c r="L179" s="22">
        <f t="shared" si="4"/>
        <v>26.42</v>
      </c>
      <c r="M179" s="24">
        <f t="shared" si="5"/>
        <v>1</v>
      </c>
    </row>
    <row r="180" spans="1:13" ht="13.15" x14ac:dyDescent="0.4">
      <c r="A180" s="46" t="s">
        <v>8</v>
      </c>
      <c r="B180" s="16" t="str">
        <f t="array" ref="B180">_xlfn.XLOOKUP(A180,Trips[ID],Trips[Trip],"",0)</f>
        <v>ESV Shakira 2026</v>
      </c>
      <c r="C180" s="47" t="s">
        <v>117</v>
      </c>
      <c r="D180" s="51">
        <v>46060</v>
      </c>
      <c r="E180" s="59" t="s">
        <v>34</v>
      </c>
      <c r="F180" s="47" t="s">
        <v>210</v>
      </c>
      <c r="G180" s="67" t="s">
        <v>21</v>
      </c>
      <c r="H180" s="20" t="s">
        <v>16</v>
      </c>
      <c r="I180" s="47" t="s">
        <v>35</v>
      </c>
      <c r="J180" s="70">
        <v>26.42</v>
      </c>
      <c r="K180" s="71">
        <v>1</v>
      </c>
      <c r="L180" s="22">
        <f t="shared" si="4"/>
        <v>26.42</v>
      </c>
      <c r="M180" s="24">
        <f t="shared" si="5"/>
        <v>1</v>
      </c>
    </row>
    <row r="181" spans="1:13" ht="13.15" x14ac:dyDescent="0.4">
      <c r="A181" s="46" t="s">
        <v>8</v>
      </c>
      <c r="B181" s="16" t="str">
        <f t="array" ref="B181">_xlfn.XLOOKUP(A181,Trips[ID],Trips[Trip],"",0)</f>
        <v>ESV Shakira 2026</v>
      </c>
      <c r="C181" s="48" t="s">
        <v>117</v>
      </c>
      <c r="D181" s="50">
        <v>46060</v>
      </c>
      <c r="E181" s="61" t="s">
        <v>34</v>
      </c>
      <c r="F181" s="48" t="s">
        <v>204</v>
      </c>
      <c r="G181" s="61" t="s">
        <v>24</v>
      </c>
      <c r="H181" s="20" t="s">
        <v>16</v>
      </c>
      <c r="I181" s="48" t="s">
        <v>35</v>
      </c>
      <c r="J181" s="70">
        <v>26.42</v>
      </c>
      <c r="K181" s="72">
        <v>1</v>
      </c>
      <c r="L181" s="22">
        <f t="shared" si="4"/>
        <v>26.42</v>
      </c>
      <c r="M181" s="24">
        <f t="shared" si="5"/>
        <v>1</v>
      </c>
    </row>
    <row r="182" spans="1:13" ht="13.15" x14ac:dyDescent="0.4">
      <c r="A182" s="46" t="s">
        <v>8</v>
      </c>
      <c r="B182" s="16" t="str">
        <f t="array" ref="B182">_xlfn.XLOOKUP(A182,Trips[ID],Trips[Trip],"",0)</f>
        <v>ESV Shakira 2026</v>
      </c>
      <c r="C182" s="47" t="s">
        <v>117</v>
      </c>
      <c r="D182" s="51">
        <v>46060</v>
      </c>
      <c r="E182" s="59" t="s">
        <v>34</v>
      </c>
      <c r="F182" s="47" t="s">
        <v>204</v>
      </c>
      <c r="G182" s="54" t="s">
        <v>18</v>
      </c>
      <c r="H182" s="20" t="s">
        <v>16</v>
      </c>
      <c r="I182" s="47" t="s">
        <v>35</v>
      </c>
      <c r="J182" s="70">
        <v>26.42</v>
      </c>
      <c r="K182" s="71">
        <v>1</v>
      </c>
      <c r="L182" s="22">
        <f t="shared" si="4"/>
        <v>26.42</v>
      </c>
      <c r="M182" s="24">
        <f t="shared" si="5"/>
        <v>1</v>
      </c>
    </row>
    <row r="183" spans="1:13" ht="13.15" x14ac:dyDescent="0.4">
      <c r="A183" s="46" t="s">
        <v>8</v>
      </c>
      <c r="B183" s="16" t="str">
        <f t="array" ref="B183">_xlfn.XLOOKUP(A183,Trips[ID],Trips[Trip],"",0)</f>
        <v>ESV Shakira 2026</v>
      </c>
      <c r="C183" s="48" t="s">
        <v>117</v>
      </c>
      <c r="D183" s="50">
        <v>46060</v>
      </c>
      <c r="E183" s="61" t="s">
        <v>34</v>
      </c>
      <c r="F183" s="48" t="s">
        <v>211</v>
      </c>
      <c r="G183" s="68" t="s">
        <v>9</v>
      </c>
      <c r="H183" s="20" t="s">
        <v>16</v>
      </c>
      <c r="I183" s="48" t="s">
        <v>35</v>
      </c>
      <c r="J183" s="70">
        <v>26.42</v>
      </c>
      <c r="K183" s="72">
        <v>3</v>
      </c>
      <c r="L183" s="22">
        <f t="shared" si="4"/>
        <v>79.260000000000005</v>
      </c>
      <c r="M183" s="24">
        <f t="shared" si="5"/>
        <v>3</v>
      </c>
    </row>
    <row r="184" spans="1:13" ht="13.15" x14ac:dyDescent="0.4">
      <c r="A184" s="46" t="s">
        <v>8</v>
      </c>
      <c r="B184" s="16" t="str">
        <f t="array" ref="B184">_xlfn.XLOOKUP(A184,Trips[ID],Trips[Trip],"",0)</f>
        <v>ESV Shakira 2026</v>
      </c>
      <c r="C184" s="47" t="s">
        <v>118</v>
      </c>
      <c r="D184" s="51">
        <v>46061</v>
      </c>
      <c r="E184" s="54" t="s">
        <v>37</v>
      </c>
      <c r="F184" s="47" t="s">
        <v>212</v>
      </c>
      <c r="G184" s="67" t="s">
        <v>21</v>
      </c>
      <c r="H184" s="20" t="s">
        <v>16</v>
      </c>
      <c r="I184" s="47" t="s">
        <v>35</v>
      </c>
      <c r="J184" s="70">
        <v>26.42</v>
      </c>
      <c r="K184" s="71">
        <v>5.2</v>
      </c>
      <c r="L184" s="22">
        <f t="shared" si="4"/>
        <v>137.38400000000001</v>
      </c>
      <c r="M184" s="24">
        <f t="shared" si="5"/>
        <v>5.2</v>
      </c>
    </row>
    <row r="185" spans="1:13" ht="13.15" x14ac:dyDescent="0.4">
      <c r="A185" s="46" t="s">
        <v>8</v>
      </c>
      <c r="B185" s="16" t="str">
        <f t="array" ref="B185">_xlfn.XLOOKUP(A185,Trips[ID],Trips[Trip],"",0)</f>
        <v>ESV Shakira 2026</v>
      </c>
      <c r="C185" s="48" t="s">
        <v>118</v>
      </c>
      <c r="D185" s="50">
        <v>46061</v>
      </c>
      <c r="E185" s="53" t="s">
        <v>37</v>
      </c>
      <c r="F185" s="48" t="s">
        <v>213</v>
      </c>
      <c r="G185" s="55" t="s">
        <v>16</v>
      </c>
      <c r="H185" s="20" t="s">
        <v>16</v>
      </c>
      <c r="I185" s="48" t="s">
        <v>35</v>
      </c>
      <c r="J185" s="70">
        <v>26.42</v>
      </c>
      <c r="K185" s="72">
        <v>4.75</v>
      </c>
      <c r="L185" s="22">
        <f t="shared" si="4"/>
        <v>125.495</v>
      </c>
      <c r="M185" s="24">
        <f t="shared" si="5"/>
        <v>4.75</v>
      </c>
    </row>
    <row r="186" spans="1:13" ht="13.15" x14ac:dyDescent="0.4">
      <c r="A186" s="46" t="s">
        <v>8</v>
      </c>
      <c r="B186" s="16" t="str">
        <f t="array" ref="B186">_xlfn.XLOOKUP(A186,Trips[ID],Trips[Trip],"",0)</f>
        <v>ESV Shakira 2026</v>
      </c>
      <c r="C186" s="47" t="s">
        <v>118</v>
      </c>
      <c r="D186" s="51">
        <v>46061</v>
      </c>
      <c r="E186" s="54" t="s">
        <v>37</v>
      </c>
      <c r="F186" s="47" t="s">
        <v>214</v>
      </c>
      <c r="G186" s="56" t="s">
        <v>16</v>
      </c>
      <c r="H186" s="20" t="s">
        <v>16</v>
      </c>
      <c r="I186" s="47" t="s">
        <v>35</v>
      </c>
      <c r="J186" s="70">
        <v>26.42</v>
      </c>
      <c r="K186" s="71">
        <v>4.99</v>
      </c>
      <c r="L186" s="22">
        <f t="shared" si="4"/>
        <v>131.83580000000001</v>
      </c>
      <c r="M186" s="24">
        <f t="shared" si="5"/>
        <v>4.99</v>
      </c>
    </row>
    <row r="187" spans="1:13" ht="13.15" x14ac:dyDescent="0.4">
      <c r="A187" s="46" t="s">
        <v>8</v>
      </c>
      <c r="B187" s="16" t="str">
        <f t="array" ref="B187">_xlfn.XLOOKUP(A187,Trips[ID],Trips[Trip],"",0)</f>
        <v>ESV Shakira 2026</v>
      </c>
      <c r="C187" s="48" t="s">
        <v>118</v>
      </c>
      <c r="D187" s="50">
        <v>46061</v>
      </c>
      <c r="E187" s="53" t="s">
        <v>37</v>
      </c>
      <c r="F187" s="48" t="s">
        <v>215</v>
      </c>
      <c r="G187" s="66" t="s">
        <v>21</v>
      </c>
      <c r="H187" s="20" t="s">
        <v>16</v>
      </c>
      <c r="I187" s="48" t="s">
        <v>35</v>
      </c>
      <c r="J187" s="70">
        <v>26.42</v>
      </c>
      <c r="K187" s="72">
        <v>6.25</v>
      </c>
      <c r="L187" s="22">
        <f t="shared" si="4"/>
        <v>165.125</v>
      </c>
      <c r="M187" s="24">
        <f t="shared" si="5"/>
        <v>6.25</v>
      </c>
    </row>
    <row r="188" spans="1:13" ht="13.15" x14ac:dyDescent="0.4">
      <c r="A188" s="46" t="s">
        <v>8</v>
      </c>
      <c r="B188" s="16" t="str">
        <f t="array" ref="B188">_xlfn.XLOOKUP(A188,Trips[ID],Trips[Trip],"",0)</f>
        <v>ESV Shakira 2026</v>
      </c>
      <c r="C188" s="47" t="s">
        <v>118</v>
      </c>
      <c r="D188" s="51">
        <v>46061</v>
      </c>
      <c r="E188" s="54" t="s">
        <v>37</v>
      </c>
      <c r="F188" s="47" t="s">
        <v>216</v>
      </c>
      <c r="G188" s="54" t="s">
        <v>18</v>
      </c>
      <c r="H188" s="20" t="s">
        <v>16</v>
      </c>
      <c r="I188" s="47" t="s">
        <v>35</v>
      </c>
      <c r="J188" s="70">
        <v>26.42</v>
      </c>
      <c r="K188" s="71">
        <v>5.95</v>
      </c>
      <c r="L188" s="22">
        <f t="shared" si="4"/>
        <v>157.19900000000001</v>
      </c>
      <c r="M188" s="24">
        <f t="shared" si="5"/>
        <v>5.95</v>
      </c>
    </row>
    <row r="189" spans="1:13" ht="26.25" x14ac:dyDescent="0.4">
      <c r="A189" s="46" t="s">
        <v>8</v>
      </c>
      <c r="B189" s="16" t="str">
        <f t="array" ref="B189">_xlfn.XLOOKUP(A189,Trips[ID],Trips[Trip],"",0)</f>
        <v>ESV Shakira 2026</v>
      </c>
      <c r="C189" s="48" t="s">
        <v>118</v>
      </c>
      <c r="D189" s="50">
        <v>46061</v>
      </c>
      <c r="E189" s="53" t="s">
        <v>37</v>
      </c>
      <c r="F189" s="48" t="s">
        <v>217</v>
      </c>
      <c r="G189" s="53" t="s">
        <v>18</v>
      </c>
      <c r="H189" s="20" t="s">
        <v>16</v>
      </c>
      <c r="I189" s="48" t="s">
        <v>35</v>
      </c>
      <c r="J189" s="70">
        <v>26.42</v>
      </c>
      <c r="K189" s="72">
        <v>4.55</v>
      </c>
      <c r="L189" s="22">
        <f t="shared" si="4"/>
        <v>120.211</v>
      </c>
      <c r="M189" s="24">
        <f t="shared" si="5"/>
        <v>4.55</v>
      </c>
    </row>
    <row r="190" spans="1:13" ht="13.15" x14ac:dyDescent="0.4">
      <c r="A190" s="46" t="s">
        <v>8</v>
      </c>
      <c r="B190" s="16" t="str">
        <f t="array" ref="B190">_xlfn.XLOOKUP(A190,Trips[ID],Trips[Trip],"",0)</f>
        <v>ESV Shakira 2026</v>
      </c>
      <c r="C190" s="47" t="s">
        <v>118</v>
      </c>
      <c r="D190" s="51">
        <v>46061</v>
      </c>
      <c r="E190" s="54" t="s">
        <v>37</v>
      </c>
      <c r="F190" s="47" t="s">
        <v>218</v>
      </c>
      <c r="G190" s="59" t="s">
        <v>24</v>
      </c>
      <c r="H190" s="20" t="s">
        <v>16</v>
      </c>
      <c r="I190" s="47" t="s">
        <v>35</v>
      </c>
      <c r="J190" s="70">
        <v>26.42</v>
      </c>
      <c r="K190" s="71">
        <v>4.38</v>
      </c>
      <c r="L190" s="22">
        <f t="shared" si="4"/>
        <v>115.7196</v>
      </c>
      <c r="M190" s="24">
        <f t="shared" si="5"/>
        <v>4.38</v>
      </c>
    </row>
    <row r="191" spans="1:13" ht="13.15" x14ac:dyDescent="0.4">
      <c r="A191" s="46" t="s">
        <v>8</v>
      </c>
      <c r="B191" s="16" t="str">
        <f t="array" ref="B191">_xlfn.XLOOKUP(A191,Trips[ID],Trips[Trip],"",0)</f>
        <v>ESV Shakira 2026</v>
      </c>
      <c r="C191" s="48" t="s">
        <v>118</v>
      </c>
      <c r="D191" s="50">
        <v>46061</v>
      </c>
      <c r="E191" s="53" t="s">
        <v>37</v>
      </c>
      <c r="F191" s="48" t="s">
        <v>218</v>
      </c>
      <c r="G191" s="65" t="s">
        <v>13</v>
      </c>
      <c r="H191" s="20" t="s">
        <v>16</v>
      </c>
      <c r="I191" s="48" t="s">
        <v>35</v>
      </c>
      <c r="J191" s="70">
        <v>26.42</v>
      </c>
      <c r="K191" s="72">
        <v>4.38</v>
      </c>
      <c r="L191" s="22">
        <f t="shared" si="4"/>
        <v>115.7196</v>
      </c>
      <c r="M191" s="24">
        <f t="shared" si="5"/>
        <v>4.38</v>
      </c>
    </row>
    <row r="192" spans="1:13" ht="13.15" x14ac:dyDescent="0.4">
      <c r="A192" s="46" t="s">
        <v>8</v>
      </c>
      <c r="B192" s="16" t="str">
        <f t="array" ref="B192">_xlfn.XLOOKUP(A192,Trips[ID],Trips[Trip],"",0)</f>
        <v>ESV Shakira 2026</v>
      </c>
      <c r="C192" s="47" t="s">
        <v>118</v>
      </c>
      <c r="D192" s="51">
        <v>46061</v>
      </c>
      <c r="E192" s="54" t="s">
        <v>37</v>
      </c>
      <c r="F192" s="47" t="s">
        <v>219</v>
      </c>
      <c r="G192" s="59" t="s">
        <v>24</v>
      </c>
      <c r="H192" s="20" t="s">
        <v>16</v>
      </c>
      <c r="I192" s="47" t="s">
        <v>35</v>
      </c>
      <c r="J192" s="70">
        <v>26.42</v>
      </c>
      <c r="K192" s="71">
        <v>0.25</v>
      </c>
      <c r="L192" s="22">
        <f t="shared" si="4"/>
        <v>6.6050000000000004</v>
      </c>
      <c r="M192" s="24">
        <f t="shared" si="5"/>
        <v>0.25</v>
      </c>
    </row>
    <row r="193" spans="1:13" ht="13.15" x14ac:dyDescent="0.4">
      <c r="A193" s="46" t="s">
        <v>8</v>
      </c>
      <c r="B193" s="16" t="str">
        <f t="array" ref="B193">_xlfn.XLOOKUP(A193,Trips[ID],Trips[Trip],"",0)</f>
        <v>ESV Shakira 2026</v>
      </c>
      <c r="C193" s="48" t="s">
        <v>118</v>
      </c>
      <c r="D193" s="50">
        <v>46061</v>
      </c>
      <c r="E193" s="53" t="s">
        <v>37</v>
      </c>
      <c r="F193" s="48" t="s">
        <v>219</v>
      </c>
      <c r="G193" s="65" t="s">
        <v>13</v>
      </c>
      <c r="H193" s="20" t="s">
        <v>16</v>
      </c>
      <c r="I193" s="48" t="s">
        <v>35</v>
      </c>
      <c r="J193" s="70">
        <v>26.42</v>
      </c>
      <c r="K193" s="72">
        <v>0.25</v>
      </c>
      <c r="L193" s="22">
        <f t="shared" si="4"/>
        <v>6.6050000000000004</v>
      </c>
      <c r="M193" s="24">
        <f t="shared" si="5"/>
        <v>0.25</v>
      </c>
    </row>
    <row r="194" spans="1:13" ht="13.15" x14ac:dyDescent="0.4">
      <c r="A194" s="46" t="s">
        <v>8</v>
      </c>
      <c r="B194" s="16" t="str">
        <f t="array" ref="B194">_xlfn.XLOOKUP(A194,Trips[ID],Trips[Trip],"",0)</f>
        <v>ESV Shakira 2026</v>
      </c>
      <c r="C194" s="47" t="s">
        <v>118</v>
      </c>
      <c r="D194" s="51">
        <v>46061</v>
      </c>
      <c r="E194" s="54" t="s">
        <v>37</v>
      </c>
      <c r="F194" s="47" t="s">
        <v>220</v>
      </c>
      <c r="G194" s="64" t="s">
        <v>9</v>
      </c>
      <c r="H194" s="20" t="s">
        <v>16</v>
      </c>
      <c r="I194" s="47" t="s">
        <v>35</v>
      </c>
      <c r="J194" s="70">
        <v>26.42</v>
      </c>
      <c r="K194" s="71">
        <v>0.5</v>
      </c>
      <c r="L194" s="22">
        <f t="shared" si="4"/>
        <v>13.21</v>
      </c>
      <c r="M194" s="24">
        <f t="shared" si="5"/>
        <v>0.5</v>
      </c>
    </row>
    <row r="195" spans="1:13" ht="13.15" x14ac:dyDescent="0.4">
      <c r="A195" s="46" t="s">
        <v>8</v>
      </c>
      <c r="B195" s="16" t="str">
        <f t="array" ref="B195">_xlfn.XLOOKUP(A195,Trips[ID],Trips[Trip],"",0)</f>
        <v>ESV Shakira 2026</v>
      </c>
      <c r="C195" s="48" t="s">
        <v>119</v>
      </c>
      <c r="D195" s="50">
        <v>46061</v>
      </c>
      <c r="E195" s="60" t="s">
        <v>65</v>
      </c>
      <c r="F195" s="48" t="s">
        <v>221</v>
      </c>
      <c r="G195" s="68" t="s">
        <v>9</v>
      </c>
      <c r="H195" s="20" t="s">
        <v>16</v>
      </c>
      <c r="I195" s="48" t="s">
        <v>35</v>
      </c>
      <c r="J195" s="70">
        <v>26.42</v>
      </c>
      <c r="K195" s="72">
        <v>5</v>
      </c>
      <c r="L195" s="22">
        <f t="shared" ref="L195:L230" si="6">IF(I195="$", J195, 1) * K195</f>
        <v>132.10000000000002</v>
      </c>
      <c r="M195" s="24">
        <f t="shared" ref="M195:M230" si="7">K195 / IF(I195="$", 1, J195)</f>
        <v>5</v>
      </c>
    </row>
    <row r="196" spans="1:13" ht="13.15" x14ac:dyDescent="0.4">
      <c r="A196" s="46" t="s">
        <v>8</v>
      </c>
      <c r="B196" s="16" t="str">
        <f t="array" ref="B196">_xlfn.XLOOKUP(A196,Trips[ID],Trips[Trip],"",0)</f>
        <v>ESV Shakira 2026</v>
      </c>
      <c r="C196" s="47" t="s">
        <v>119</v>
      </c>
      <c r="D196" s="51">
        <v>46061</v>
      </c>
      <c r="E196" s="62" t="s">
        <v>65</v>
      </c>
      <c r="F196" s="47" t="s">
        <v>222</v>
      </c>
      <c r="G196" s="64" t="s">
        <v>9</v>
      </c>
      <c r="H196" s="20" t="s">
        <v>16</v>
      </c>
      <c r="I196" s="47" t="s">
        <v>35</v>
      </c>
      <c r="J196" s="70">
        <v>26.42</v>
      </c>
      <c r="K196" s="71">
        <v>7</v>
      </c>
      <c r="L196" s="22">
        <f t="shared" si="6"/>
        <v>184.94</v>
      </c>
      <c r="M196" s="24">
        <f t="shared" si="7"/>
        <v>7</v>
      </c>
    </row>
    <row r="197" spans="1:13" ht="13.15" x14ac:dyDescent="0.4">
      <c r="A197" s="46" t="s">
        <v>8</v>
      </c>
      <c r="B197" s="16" t="str">
        <f t="array" ref="B197">_xlfn.XLOOKUP(A197,Trips[ID],Trips[Trip],"",0)</f>
        <v>ESV Shakira 2026</v>
      </c>
      <c r="C197" s="48" t="s">
        <v>119</v>
      </c>
      <c r="D197" s="50">
        <v>46061</v>
      </c>
      <c r="E197" s="60" t="s">
        <v>65</v>
      </c>
      <c r="F197" s="48" t="s">
        <v>223</v>
      </c>
      <c r="G197" s="68" t="s">
        <v>9</v>
      </c>
      <c r="H197" s="20" t="s">
        <v>16</v>
      </c>
      <c r="I197" s="48" t="s">
        <v>35</v>
      </c>
      <c r="J197" s="70">
        <v>26.42</v>
      </c>
      <c r="K197" s="72">
        <v>4</v>
      </c>
      <c r="L197" s="22">
        <f t="shared" si="6"/>
        <v>105.68</v>
      </c>
      <c r="M197" s="24">
        <f t="shared" si="7"/>
        <v>4</v>
      </c>
    </row>
    <row r="198" spans="1:13" ht="13.15" x14ac:dyDescent="0.4">
      <c r="A198" s="46" t="s">
        <v>8</v>
      </c>
      <c r="B198" s="16" t="str">
        <f t="array" ref="B198">_xlfn.XLOOKUP(A198,Trips[ID],Trips[Trip],"",0)</f>
        <v>ESV Shakira 2026</v>
      </c>
      <c r="C198" s="47" t="s">
        <v>119</v>
      </c>
      <c r="D198" s="51">
        <v>46061</v>
      </c>
      <c r="E198" s="62" t="s">
        <v>65</v>
      </c>
      <c r="F198" s="47" t="s">
        <v>224</v>
      </c>
      <c r="G198" s="64" t="s">
        <v>9</v>
      </c>
      <c r="H198" s="20" t="s">
        <v>16</v>
      </c>
      <c r="I198" s="47" t="s">
        <v>35</v>
      </c>
      <c r="J198" s="70">
        <v>26.42</v>
      </c>
      <c r="K198" s="71">
        <v>17</v>
      </c>
      <c r="L198" s="22">
        <f t="shared" si="6"/>
        <v>449.14000000000004</v>
      </c>
      <c r="M198" s="24">
        <f t="shared" si="7"/>
        <v>17</v>
      </c>
    </row>
    <row r="199" spans="1:13" ht="13.15" x14ac:dyDescent="0.4">
      <c r="A199" s="46" t="s">
        <v>8</v>
      </c>
      <c r="B199" s="16" t="str">
        <f t="array" ref="B199">_xlfn.XLOOKUP(A199,Trips[ID],Trips[Trip],"",0)</f>
        <v>ESV Shakira 2026</v>
      </c>
      <c r="C199" s="48" t="s">
        <v>119</v>
      </c>
      <c r="D199" s="50">
        <v>46061</v>
      </c>
      <c r="E199" s="60" t="s">
        <v>65</v>
      </c>
      <c r="F199" s="48" t="s">
        <v>225</v>
      </c>
      <c r="G199" s="68" t="s">
        <v>9</v>
      </c>
      <c r="H199" s="20" t="s">
        <v>16</v>
      </c>
      <c r="I199" s="48" t="s">
        <v>35</v>
      </c>
      <c r="J199" s="70">
        <v>26.42</v>
      </c>
      <c r="K199" s="72">
        <v>19.2</v>
      </c>
      <c r="L199" s="22">
        <f t="shared" si="6"/>
        <v>507.26400000000001</v>
      </c>
      <c r="M199" s="24">
        <f t="shared" si="7"/>
        <v>19.2</v>
      </c>
    </row>
    <row r="200" spans="1:13" ht="13.15" x14ac:dyDescent="0.4">
      <c r="A200" s="46" t="s">
        <v>8</v>
      </c>
      <c r="B200" s="16" t="str">
        <f t="array" ref="B200">_xlfn.XLOOKUP(A200,Trips[ID],Trips[Trip],"",0)</f>
        <v>ESV Shakira 2026</v>
      </c>
      <c r="C200" s="47" t="s">
        <v>119</v>
      </c>
      <c r="D200" s="51">
        <v>46061</v>
      </c>
      <c r="E200" s="62" t="s">
        <v>65</v>
      </c>
      <c r="F200" s="47" t="s">
        <v>63</v>
      </c>
      <c r="G200" s="64" t="s">
        <v>9</v>
      </c>
      <c r="H200" s="20" t="s">
        <v>16</v>
      </c>
      <c r="I200" s="47" t="s">
        <v>35</v>
      </c>
      <c r="J200" s="70">
        <v>26.42</v>
      </c>
      <c r="K200" s="71">
        <v>2.8</v>
      </c>
      <c r="L200" s="22">
        <f t="shared" si="6"/>
        <v>73.975999999999999</v>
      </c>
      <c r="M200" s="24">
        <f t="shared" si="7"/>
        <v>2.8</v>
      </c>
    </row>
    <row r="201" spans="1:13" ht="13.15" x14ac:dyDescent="0.4">
      <c r="A201" s="46" t="s">
        <v>8</v>
      </c>
      <c r="B201" s="16" t="str">
        <f t="array" ref="B201">_xlfn.XLOOKUP(A201,Trips[ID],Trips[Trip],"",0)</f>
        <v>ESV Shakira 2026</v>
      </c>
      <c r="C201" s="48" t="s">
        <v>120</v>
      </c>
      <c r="D201" s="50">
        <v>46061</v>
      </c>
      <c r="E201" s="60" t="s">
        <v>65</v>
      </c>
      <c r="F201" s="48" t="s">
        <v>226</v>
      </c>
      <c r="G201" s="68" t="s">
        <v>9</v>
      </c>
      <c r="H201" s="20" t="s">
        <v>16</v>
      </c>
      <c r="I201" s="48" t="s">
        <v>35</v>
      </c>
      <c r="J201" s="70">
        <v>26.42</v>
      </c>
      <c r="K201" s="72">
        <v>10</v>
      </c>
      <c r="L201" s="22">
        <f t="shared" si="6"/>
        <v>264.20000000000005</v>
      </c>
      <c r="M201" s="24">
        <f t="shared" si="7"/>
        <v>10</v>
      </c>
    </row>
    <row r="202" spans="1:13" ht="13.15" x14ac:dyDescent="0.4">
      <c r="A202" s="46" t="s">
        <v>8</v>
      </c>
      <c r="B202" s="16" t="str">
        <f t="array" ref="B202">_xlfn.XLOOKUP(A202,Trips[ID],Trips[Trip],"",0)</f>
        <v>ESV Shakira 2026</v>
      </c>
      <c r="C202" s="47" t="s">
        <v>120</v>
      </c>
      <c r="D202" s="51">
        <v>46061</v>
      </c>
      <c r="E202" s="62" t="s">
        <v>65</v>
      </c>
      <c r="F202" s="47" t="s">
        <v>62</v>
      </c>
      <c r="G202" s="56" t="s">
        <v>16</v>
      </c>
      <c r="H202" s="20" t="s">
        <v>16</v>
      </c>
      <c r="I202" s="47" t="s">
        <v>35</v>
      </c>
      <c r="J202" s="70">
        <v>26.42</v>
      </c>
      <c r="K202" s="71">
        <v>1.1000000000000001</v>
      </c>
      <c r="L202" s="22">
        <f t="shared" si="6"/>
        <v>29.062000000000005</v>
      </c>
      <c r="M202" s="24">
        <f t="shared" si="7"/>
        <v>1.1000000000000001</v>
      </c>
    </row>
    <row r="203" spans="1:13" ht="13.15" x14ac:dyDescent="0.4">
      <c r="A203" s="46" t="s">
        <v>8</v>
      </c>
      <c r="B203" s="16" t="str">
        <f t="array" ref="B203">_xlfn.XLOOKUP(A203,Trips[ID],Trips[Trip],"",0)</f>
        <v>ESV Shakira 2026</v>
      </c>
      <c r="C203" s="48" t="s">
        <v>120</v>
      </c>
      <c r="D203" s="50">
        <v>46061</v>
      </c>
      <c r="E203" s="60" t="s">
        <v>65</v>
      </c>
      <c r="F203" s="48" t="s">
        <v>62</v>
      </c>
      <c r="G203" s="66" t="s">
        <v>21</v>
      </c>
      <c r="H203" s="20" t="s">
        <v>16</v>
      </c>
      <c r="I203" s="48" t="s">
        <v>35</v>
      </c>
      <c r="J203" s="70">
        <v>26.42</v>
      </c>
      <c r="K203" s="72">
        <v>1.1000000000000001</v>
      </c>
      <c r="L203" s="22">
        <f t="shared" si="6"/>
        <v>29.062000000000005</v>
      </c>
      <c r="M203" s="24">
        <f t="shared" si="7"/>
        <v>1.1000000000000001</v>
      </c>
    </row>
    <row r="204" spans="1:13" ht="13.15" x14ac:dyDescent="0.4">
      <c r="A204" s="46" t="s">
        <v>8</v>
      </c>
      <c r="B204" s="16" t="str">
        <f t="array" ref="B204">_xlfn.XLOOKUP(A204,Trips[ID],Trips[Trip],"",0)</f>
        <v>ESV Shakira 2026</v>
      </c>
      <c r="C204" s="47" t="s">
        <v>120</v>
      </c>
      <c r="D204" s="51">
        <v>46061</v>
      </c>
      <c r="E204" s="62" t="s">
        <v>65</v>
      </c>
      <c r="F204" s="47" t="s">
        <v>62</v>
      </c>
      <c r="G204" s="54" t="s">
        <v>18</v>
      </c>
      <c r="H204" s="20" t="s">
        <v>16</v>
      </c>
      <c r="I204" s="47" t="s">
        <v>35</v>
      </c>
      <c r="J204" s="70">
        <v>26.42</v>
      </c>
      <c r="K204" s="71">
        <v>1.1000000000000001</v>
      </c>
      <c r="L204" s="22">
        <f t="shared" si="6"/>
        <v>29.062000000000005</v>
      </c>
      <c r="M204" s="24">
        <f t="shared" si="7"/>
        <v>1.1000000000000001</v>
      </c>
    </row>
    <row r="205" spans="1:13" ht="13.15" x14ac:dyDescent="0.4">
      <c r="A205" s="46" t="s">
        <v>8</v>
      </c>
      <c r="B205" s="16" t="str">
        <f t="array" ref="B205">_xlfn.XLOOKUP(A205,Trips[ID],Trips[Trip],"",0)</f>
        <v>ESV Shakira 2026</v>
      </c>
      <c r="C205" s="48" t="s">
        <v>120</v>
      </c>
      <c r="D205" s="50">
        <v>46061</v>
      </c>
      <c r="E205" s="60" t="s">
        <v>65</v>
      </c>
      <c r="F205" s="48" t="s">
        <v>62</v>
      </c>
      <c r="G205" s="61" t="s">
        <v>24</v>
      </c>
      <c r="H205" s="20" t="s">
        <v>16</v>
      </c>
      <c r="I205" s="48" t="s">
        <v>35</v>
      </c>
      <c r="J205" s="70">
        <v>26.42</v>
      </c>
      <c r="K205" s="72">
        <v>1.1000000000000001</v>
      </c>
      <c r="L205" s="22">
        <f t="shared" si="6"/>
        <v>29.062000000000005</v>
      </c>
      <c r="M205" s="24">
        <f t="shared" si="7"/>
        <v>1.1000000000000001</v>
      </c>
    </row>
    <row r="206" spans="1:13" ht="13.15" x14ac:dyDescent="0.4">
      <c r="A206" s="46" t="s">
        <v>8</v>
      </c>
      <c r="B206" s="16" t="str">
        <f t="array" ref="B206">_xlfn.XLOOKUP(A206,Trips[ID],Trips[Trip],"",0)</f>
        <v>ESV Shakira 2026</v>
      </c>
      <c r="C206" s="47" t="s">
        <v>120</v>
      </c>
      <c r="D206" s="51">
        <v>46061</v>
      </c>
      <c r="E206" s="62" t="s">
        <v>65</v>
      </c>
      <c r="F206" s="47" t="s">
        <v>227</v>
      </c>
      <c r="G206" s="69" t="s">
        <v>13</v>
      </c>
      <c r="H206" s="20" t="s">
        <v>16</v>
      </c>
      <c r="I206" s="47" t="s">
        <v>35</v>
      </c>
      <c r="J206" s="70">
        <v>26.42</v>
      </c>
      <c r="K206" s="71">
        <v>5.8</v>
      </c>
      <c r="L206" s="22">
        <f t="shared" si="6"/>
        <v>153.23600000000002</v>
      </c>
      <c r="M206" s="24">
        <f t="shared" si="7"/>
        <v>5.8</v>
      </c>
    </row>
    <row r="207" spans="1:13" ht="13.15" x14ac:dyDescent="0.4">
      <c r="A207" s="46" t="s">
        <v>8</v>
      </c>
      <c r="B207" s="16" t="str">
        <f t="array" ref="B207">_xlfn.XLOOKUP(A207,Trips[ID],Trips[Trip],"",0)</f>
        <v>ESV Shakira 2026</v>
      </c>
      <c r="C207" s="48" t="s">
        <v>108</v>
      </c>
      <c r="D207" s="50">
        <v>46061</v>
      </c>
      <c r="E207" s="63" t="s">
        <v>108</v>
      </c>
      <c r="F207" s="48" t="s">
        <v>108</v>
      </c>
      <c r="G207" s="68" t="s">
        <v>9</v>
      </c>
      <c r="H207" s="20" t="s">
        <v>16</v>
      </c>
      <c r="I207" s="48" t="s">
        <v>35</v>
      </c>
      <c r="J207" s="70">
        <v>26.42</v>
      </c>
      <c r="K207" s="72">
        <v>54.02</v>
      </c>
      <c r="L207" s="22">
        <f t="shared" si="6"/>
        <v>1427.2084000000002</v>
      </c>
      <c r="M207" s="24">
        <f t="shared" si="7"/>
        <v>54.02</v>
      </c>
    </row>
    <row r="208" spans="1:13" ht="13.15" x14ac:dyDescent="0.4">
      <c r="A208" s="46" t="s">
        <v>8</v>
      </c>
      <c r="B208" s="16" t="str">
        <f t="array" ref="B208">_xlfn.XLOOKUP(A208,Trips[ID],Trips[Trip],"",0)</f>
        <v>ESV Shakira 2026</v>
      </c>
      <c r="C208" s="47" t="s">
        <v>121</v>
      </c>
      <c r="D208" s="51">
        <v>46061</v>
      </c>
      <c r="E208" s="54" t="s">
        <v>37</v>
      </c>
      <c r="F208" s="47" t="s">
        <v>228</v>
      </c>
      <c r="G208" s="56" t="s">
        <v>16</v>
      </c>
      <c r="H208" s="20" t="s">
        <v>16</v>
      </c>
      <c r="I208" s="47" t="s">
        <v>35</v>
      </c>
      <c r="J208" s="70">
        <v>26.42</v>
      </c>
      <c r="K208" s="71">
        <v>6</v>
      </c>
      <c r="L208" s="22">
        <f t="shared" si="6"/>
        <v>158.52000000000001</v>
      </c>
      <c r="M208" s="24">
        <f t="shared" si="7"/>
        <v>6</v>
      </c>
    </row>
    <row r="209" spans="1:13" ht="13.15" x14ac:dyDescent="0.4">
      <c r="A209" s="46" t="s">
        <v>8</v>
      </c>
      <c r="B209" s="16" t="str">
        <f t="array" ref="B209">_xlfn.XLOOKUP(A209,Trips[ID],Trips[Trip],"",0)</f>
        <v>ESV Shakira 2026</v>
      </c>
      <c r="C209" s="48" t="s">
        <v>121</v>
      </c>
      <c r="D209" s="50">
        <v>46061</v>
      </c>
      <c r="E209" s="53" t="s">
        <v>37</v>
      </c>
      <c r="F209" s="48" t="s">
        <v>228</v>
      </c>
      <c r="G209" s="53" t="s">
        <v>18</v>
      </c>
      <c r="H209" s="20" t="s">
        <v>16</v>
      </c>
      <c r="I209" s="48" t="s">
        <v>35</v>
      </c>
      <c r="J209" s="70">
        <v>26.42</v>
      </c>
      <c r="K209" s="72">
        <v>6</v>
      </c>
      <c r="L209" s="22">
        <f t="shared" si="6"/>
        <v>158.52000000000001</v>
      </c>
      <c r="M209" s="24">
        <f t="shared" si="7"/>
        <v>6</v>
      </c>
    </row>
    <row r="210" spans="1:13" ht="13.15" x14ac:dyDescent="0.4">
      <c r="A210" s="46" t="s">
        <v>8</v>
      </c>
      <c r="B210" s="16" t="str">
        <f t="array" ref="B210">_xlfn.XLOOKUP(A210,Trips[ID],Trips[Trip],"",0)</f>
        <v>ESV Shakira 2026</v>
      </c>
      <c r="C210" s="47" t="s">
        <v>121</v>
      </c>
      <c r="D210" s="51">
        <v>46061</v>
      </c>
      <c r="E210" s="54" t="s">
        <v>37</v>
      </c>
      <c r="F210" s="47" t="s">
        <v>229</v>
      </c>
      <c r="G210" s="69" t="s">
        <v>13</v>
      </c>
      <c r="H210" s="20" t="s">
        <v>16</v>
      </c>
      <c r="I210" s="47" t="s">
        <v>35</v>
      </c>
      <c r="J210" s="70">
        <v>26.42</v>
      </c>
      <c r="K210" s="71">
        <v>7.25</v>
      </c>
      <c r="L210" s="22">
        <f t="shared" si="6"/>
        <v>191.54500000000002</v>
      </c>
      <c r="M210" s="24">
        <f t="shared" si="7"/>
        <v>7.25</v>
      </c>
    </row>
    <row r="211" spans="1:13" ht="13.15" x14ac:dyDescent="0.4">
      <c r="A211" s="46" t="s">
        <v>8</v>
      </c>
      <c r="B211" s="16" t="str">
        <f t="array" ref="B211">_xlfn.XLOOKUP(A211,Trips[ID],Trips[Trip],"",0)</f>
        <v>ESV Shakira 2026</v>
      </c>
      <c r="C211" s="48" t="s">
        <v>121</v>
      </c>
      <c r="D211" s="50">
        <v>46061</v>
      </c>
      <c r="E211" s="53" t="s">
        <v>37</v>
      </c>
      <c r="F211" s="48" t="s">
        <v>230</v>
      </c>
      <c r="G211" s="66" t="s">
        <v>21</v>
      </c>
      <c r="H211" s="20" t="s">
        <v>16</v>
      </c>
      <c r="I211" s="48" t="s">
        <v>35</v>
      </c>
      <c r="J211" s="70">
        <v>26.42</v>
      </c>
      <c r="K211" s="72">
        <v>4.99</v>
      </c>
      <c r="L211" s="22">
        <f t="shared" si="6"/>
        <v>131.83580000000001</v>
      </c>
      <c r="M211" s="24">
        <f t="shared" si="7"/>
        <v>4.99</v>
      </c>
    </row>
    <row r="212" spans="1:13" ht="13.15" x14ac:dyDescent="0.4">
      <c r="A212" s="46" t="s">
        <v>8</v>
      </c>
      <c r="B212" s="16" t="str">
        <f t="array" ref="B212">_xlfn.XLOOKUP(A212,Trips[ID],Trips[Trip],"",0)</f>
        <v>ESV Shakira 2026</v>
      </c>
      <c r="C212" s="47" t="s">
        <v>122</v>
      </c>
      <c r="D212" s="51">
        <v>46061</v>
      </c>
      <c r="E212" s="56" t="s">
        <v>124</v>
      </c>
      <c r="F212" s="47" t="s">
        <v>231</v>
      </c>
      <c r="G212" s="67" t="s">
        <v>21</v>
      </c>
      <c r="H212" s="20" t="s">
        <v>16</v>
      </c>
      <c r="I212" s="47" t="s">
        <v>35</v>
      </c>
      <c r="J212" s="70">
        <v>26.42</v>
      </c>
      <c r="K212" s="71">
        <v>5</v>
      </c>
      <c r="L212" s="22">
        <f t="shared" si="6"/>
        <v>132.10000000000002</v>
      </c>
      <c r="M212" s="24">
        <f t="shared" si="7"/>
        <v>5</v>
      </c>
    </row>
    <row r="213" spans="1:13" ht="13.15" x14ac:dyDescent="0.4">
      <c r="A213" s="46" t="s">
        <v>8</v>
      </c>
      <c r="B213" s="16" t="str">
        <f t="array" ref="B213">_xlfn.XLOOKUP(A213,Trips[ID],Trips[Trip],"",0)</f>
        <v>ESV Shakira 2026</v>
      </c>
      <c r="C213" s="48" t="s">
        <v>122</v>
      </c>
      <c r="D213" s="50">
        <v>46061</v>
      </c>
      <c r="E213" s="55" t="s">
        <v>124</v>
      </c>
      <c r="F213" s="48" t="s">
        <v>231</v>
      </c>
      <c r="G213" s="53" t="s">
        <v>18</v>
      </c>
      <c r="H213" s="20" t="s">
        <v>16</v>
      </c>
      <c r="I213" s="48" t="s">
        <v>35</v>
      </c>
      <c r="J213" s="70">
        <v>26.42</v>
      </c>
      <c r="K213" s="72">
        <v>5</v>
      </c>
      <c r="L213" s="22">
        <f t="shared" si="6"/>
        <v>132.10000000000002</v>
      </c>
      <c r="M213" s="24">
        <f t="shared" si="7"/>
        <v>5</v>
      </c>
    </row>
    <row r="214" spans="1:13" ht="13.15" x14ac:dyDescent="0.4">
      <c r="A214" s="46" t="s">
        <v>8</v>
      </c>
      <c r="B214" s="16" t="str">
        <f t="array" ref="B214">_xlfn.XLOOKUP(A214,Trips[ID],Trips[Trip],"",0)</f>
        <v>ESV Shakira 2026</v>
      </c>
      <c r="C214" s="47" t="s">
        <v>122</v>
      </c>
      <c r="D214" s="51">
        <v>46061</v>
      </c>
      <c r="E214" s="59" t="s">
        <v>34</v>
      </c>
      <c r="F214" s="47" t="s">
        <v>232</v>
      </c>
      <c r="G214" s="64" t="s">
        <v>9</v>
      </c>
      <c r="H214" s="20" t="s">
        <v>16</v>
      </c>
      <c r="I214" s="47" t="s">
        <v>35</v>
      </c>
      <c r="J214" s="70">
        <v>26.42</v>
      </c>
      <c r="K214" s="71">
        <v>12.72</v>
      </c>
      <c r="L214" s="22">
        <f t="shared" si="6"/>
        <v>336.06240000000003</v>
      </c>
      <c r="M214" s="24">
        <f t="shared" si="7"/>
        <v>12.72</v>
      </c>
    </row>
    <row r="215" spans="1:13" ht="13.15" x14ac:dyDescent="0.4">
      <c r="A215" s="46" t="s">
        <v>8</v>
      </c>
      <c r="B215" s="16" t="str">
        <f t="array" ref="B215">_xlfn.XLOOKUP(A215,Trips[ID],Trips[Trip],"",0)</f>
        <v>ESV Shakira 2026</v>
      </c>
      <c r="C215" s="48" t="s">
        <v>122</v>
      </c>
      <c r="D215" s="50">
        <v>46061</v>
      </c>
      <c r="E215" s="61" t="s">
        <v>34</v>
      </c>
      <c r="F215" s="48" t="s">
        <v>233</v>
      </c>
      <c r="G215" s="68" t="s">
        <v>9</v>
      </c>
      <c r="H215" s="20" t="s">
        <v>16</v>
      </c>
      <c r="I215" s="48" t="s">
        <v>35</v>
      </c>
      <c r="J215" s="70">
        <v>26.42</v>
      </c>
      <c r="K215" s="72">
        <v>23.45</v>
      </c>
      <c r="L215" s="22">
        <f t="shared" si="6"/>
        <v>619.54899999999998</v>
      </c>
      <c r="M215" s="24">
        <f t="shared" si="7"/>
        <v>23.45</v>
      </c>
    </row>
    <row r="216" spans="1:13" ht="13.15" x14ac:dyDescent="0.4">
      <c r="A216" s="46" t="s">
        <v>8</v>
      </c>
      <c r="B216" s="16" t="str">
        <f t="array" ref="B216">_xlfn.XLOOKUP(A216,Trips[ID],Trips[Trip],"",0)</f>
        <v>ESV Shakira 2026</v>
      </c>
      <c r="C216" s="47" t="s">
        <v>118</v>
      </c>
      <c r="D216" s="51">
        <v>46062</v>
      </c>
      <c r="E216" s="54" t="s">
        <v>37</v>
      </c>
      <c r="F216" s="47" t="s">
        <v>234</v>
      </c>
      <c r="G216" s="69" t="s">
        <v>13</v>
      </c>
      <c r="H216" s="20" t="s">
        <v>16</v>
      </c>
      <c r="I216" s="47" t="s">
        <v>35</v>
      </c>
      <c r="J216" s="70">
        <v>26.42</v>
      </c>
      <c r="K216" s="71">
        <v>5.0999999999999996</v>
      </c>
      <c r="L216" s="22">
        <f t="shared" si="6"/>
        <v>134.74199999999999</v>
      </c>
      <c r="M216" s="24">
        <f t="shared" si="7"/>
        <v>5.0999999999999996</v>
      </c>
    </row>
    <row r="217" spans="1:13" ht="13.15" x14ac:dyDescent="0.4">
      <c r="A217" s="46" t="s">
        <v>8</v>
      </c>
      <c r="B217" s="16" t="str">
        <f t="array" ref="B217">_xlfn.XLOOKUP(A217,Trips[ID],Trips[Trip],"",0)</f>
        <v>ESV Shakira 2026</v>
      </c>
      <c r="C217" s="48" t="s">
        <v>118</v>
      </c>
      <c r="D217" s="50">
        <v>46062</v>
      </c>
      <c r="E217" s="53" t="s">
        <v>37</v>
      </c>
      <c r="F217" s="48" t="s">
        <v>235</v>
      </c>
      <c r="G217" s="61" t="s">
        <v>24</v>
      </c>
      <c r="H217" s="20" t="s">
        <v>16</v>
      </c>
      <c r="I217" s="48" t="s">
        <v>35</v>
      </c>
      <c r="J217" s="70">
        <v>26.42</v>
      </c>
      <c r="K217" s="72">
        <v>4.99</v>
      </c>
      <c r="L217" s="22">
        <f t="shared" si="6"/>
        <v>131.83580000000001</v>
      </c>
      <c r="M217" s="24">
        <f t="shared" si="7"/>
        <v>4.99</v>
      </c>
    </row>
    <row r="218" spans="1:13" ht="13.15" x14ac:dyDescent="0.4">
      <c r="A218" s="46" t="s">
        <v>8</v>
      </c>
      <c r="B218" s="16" t="str">
        <f t="array" ref="B218">_xlfn.XLOOKUP(A218,Trips[ID],Trips[Trip],"",0)</f>
        <v>ESV Shakira 2026</v>
      </c>
      <c r="C218" s="47" t="s">
        <v>118</v>
      </c>
      <c r="D218" s="51">
        <v>46062</v>
      </c>
      <c r="E218" s="54" t="s">
        <v>37</v>
      </c>
      <c r="F218" s="47" t="s">
        <v>235</v>
      </c>
      <c r="G218" s="67" t="s">
        <v>21</v>
      </c>
      <c r="H218" s="20" t="s">
        <v>16</v>
      </c>
      <c r="I218" s="47" t="s">
        <v>35</v>
      </c>
      <c r="J218" s="70">
        <v>26.42</v>
      </c>
      <c r="K218" s="71">
        <v>4.99</v>
      </c>
      <c r="L218" s="22">
        <f t="shared" si="6"/>
        <v>131.83580000000001</v>
      </c>
      <c r="M218" s="24">
        <f t="shared" si="7"/>
        <v>4.99</v>
      </c>
    </row>
    <row r="219" spans="1:13" ht="13.15" x14ac:dyDescent="0.4">
      <c r="A219" s="46" t="s">
        <v>8</v>
      </c>
      <c r="B219" s="16" t="str">
        <f t="array" ref="B219">_xlfn.XLOOKUP(A219,Trips[ID],Trips[Trip],"",0)</f>
        <v>ESV Shakira 2026</v>
      </c>
      <c r="C219" s="48" t="s">
        <v>118</v>
      </c>
      <c r="D219" s="50">
        <v>46062</v>
      </c>
      <c r="E219" s="53" t="s">
        <v>37</v>
      </c>
      <c r="F219" s="48" t="s">
        <v>235</v>
      </c>
      <c r="G219" s="65" t="s">
        <v>13</v>
      </c>
      <c r="H219" s="20" t="s">
        <v>16</v>
      </c>
      <c r="I219" s="48" t="s">
        <v>35</v>
      </c>
      <c r="J219" s="70">
        <v>26.42</v>
      </c>
      <c r="K219" s="72">
        <v>4.99</v>
      </c>
      <c r="L219" s="22">
        <f t="shared" si="6"/>
        <v>131.83580000000001</v>
      </c>
      <c r="M219" s="24">
        <f t="shared" si="7"/>
        <v>4.99</v>
      </c>
    </row>
    <row r="220" spans="1:13" ht="13.15" x14ac:dyDescent="0.4">
      <c r="A220" s="46" t="s">
        <v>8</v>
      </c>
      <c r="B220" s="16" t="str">
        <f t="array" ref="B220">_xlfn.XLOOKUP(A220,Trips[ID],Trips[Trip],"",0)</f>
        <v>ESV Shakira 2026</v>
      </c>
      <c r="C220" s="47" t="s">
        <v>118</v>
      </c>
      <c r="D220" s="51">
        <v>46062</v>
      </c>
      <c r="E220" s="54" t="s">
        <v>37</v>
      </c>
      <c r="F220" s="47" t="s">
        <v>236</v>
      </c>
      <c r="G220" s="59" t="s">
        <v>24</v>
      </c>
      <c r="H220" s="20" t="s">
        <v>16</v>
      </c>
      <c r="I220" s="47" t="s">
        <v>35</v>
      </c>
      <c r="J220" s="70">
        <v>26.42</v>
      </c>
      <c r="K220" s="71">
        <v>4.2</v>
      </c>
      <c r="L220" s="22">
        <f t="shared" si="6"/>
        <v>110.96400000000001</v>
      </c>
      <c r="M220" s="24">
        <f t="shared" si="7"/>
        <v>4.2</v>
      </c>
    </row>
    <row r="221" spans="1:13" ht="13.15" x14ac:dyDescent="0.4">
      <c r="A221" s="46" t="s">
        <v>8</v>
      </c>
      <c r="B221" s="16" t="str">
        <f t="array" ref="B221">_xlfn.XLOOKUP(A221,Trips[ID],Trips[Trip],"",0)</f>
        <v>ESV Shakira 2026</v>
      </c>
      <c r="C221" s="48" t="s">
        <v>118</v>
      </c>
      <c r="D221" s="50">
        <v>46062</v>
      </c>
      <c r="E221" s="53" t="s">
        <v>37</v>
      </c>
      <c r="F221" s="48" t="s">
        <v>237</v>
      </c>
      <c r="G221" s="66" t="s">
        <v>21</v>
      </c>
      <c r="H221" s="20" t="s">
        <v>16</v>
      </c>
      <c r="I221" s="48" t="s">
        <v>35</v>
      </c>
      <c r="J221" s="70">
        <v>26.42</v>
      </c>
      <c r="K221" s="72">
        <v>5.9</v>
      </c>
      <c r="L221" s="22">
        <f t="shared" si="6"/>
        <v>155.87800000000001</v>
      </c>
      <c r="M221" s="24">
        <f t="shared" si="7"/>
        <v>5.9</v>
      </c>
    </row>
    <row r="222" spans="1:13" ht="13.15" x14ac:dyDescent="0.4">
      <c r="A222" s="46" t="s">
        <v>8</v>
      </c>
      <c r="B222" s="16" t="str">
        <f t="array" ref="B222">_xlfn.XLOOKUP(A222,Trips[ID],Trips[Trip],"",0)</f>
        <v>ESV Shakira 2026</v>
      </c>
      <c r="C222" s="47" t="s">
        <v>118</v>
      </c>
      <c r="D222" s="51">
        <v>46062</v>
      </c>
      <c r="E222" s="54" t="s">
        <v>37</v>
      </c>
      <c r="F222" s="47" t="s">
        <v>216</v>
      </c>
      <c r="G222" s="56" t="s">
        <v>16</v>
      </c>
      <c r="H222" s="20" t="s">
        <v>16</v>
      </c>
      <c r="I222" s="47" t="s">
        <v>35</v>
      </c>
      <c r="J222" s="70">
        <v>26.42</v>
      </c>
      <c r="K222" s="71">
        <v>5.95</v>
      </c>
      <c r="L222" s="22">
        <f t="shared" si="6"/>
        <v>157.19900000000001</v>
      </c>
      <c r="M222" s="24">
        <f t="shared" si="7"/>
        <v>5.95</v>
      </c>
    </row>
    <row r="223" spans="1:13" ht="13.15" x14ac:dyDescent="0.4">
      <c r="A223" s="46" t="s">
        <v>8</v>
      </c>
      <c r="B223" s="16" t="str">
        <f t="array" ref="B223">_xlfn.XLOOKUP(A223,Trips[ID],Trips[Trip],"",0)</f>
        <v>ESV Shakira 2026</v>
      </c>
      <c r="C223" s="48" t="s">
        <v>118</v>
      </c>
      <c r="D223" s="50">
        <v>46062</v>
      </c>
      <c r="E223" s="53" t="s">
        <v>37</v>
      </c>
      <c r="F223" s="48" t="s">
        <v>238</v>
      </c>
      <c r="G223" s="55" t="s">
        <v>16</v>
      </c>
      <c r="H223" s="20" t="s">
        <v>16</v>
      </c>
      <c r="I223" s="48" t="s">
        <v>35</v>
      </c>
      <c r="J223" s="70">
        <v>26.42</v>
      </c>
      <c r="K223" s="72">
        <v>4.95</v>
      </c>
      <c r="L223" s="22">
        <f t="shared" si="6"/>
        <v>130.77900000000002</v>
      </c>
      <c r="M223" s="24">
        <f t="shared" si="7"/>
        <v>4.95</v>
      </c>
    </row>
    <row r="224" spans="1:13" ht="26.25" x14ac:dyDescent="0.4">
      <c r="A224" s="46" t="s">
        <v>8</v>
      </c>
      <c r="B224" s="16" t="str">
        <f t="array" ref="B224">_xlfn.XLOOKUP(A224,Trips[ID],Trips[Trip],"",0)</f>
        <v>ESV Shakira 2026</v>
      </c>
      <c r="C224" s="47" t="s">
        <v>118</v>
      </c>
      <c r="D224" s="51">
        <v>46062</v>
      </c>
      <c r="E224" s="54" t="s">
        <v>37</v>
      </c>
      <c r="F224" s="47" t="s">
        <v>239</v>
      </c>
      <c r="G224" s="54" t="s">
        <v>18</v>
      </c>
      <c r="H224" s="20" t="s">
        <v>16</v>
      </c>
      <c r="I224" s="47" t="s">
        <v>35</v>
      </c>
      <c r="J224" s="70">
        <v>26.42</v>
      </c>
      <c r="K224" s="71">
        <v>2.75</v>
      </c>
      <c r="L224" s="22">
        <f t="shared" si="6"/>
        <v>72.655000000000001</v>
      </c>
      <c r="M224" s="24">
        <f t="shared" si="7"/>
        <v>2.75</v>
      </c>
    </row>
    <row r="225" spans="1:13" ht="13.15" x14ac:dyDescent="0.4">
      <c r="A225" s="46" t="s">
        <v>8</v>
      </c>
      <c r="B225" s="16" t="str">
        <f t="array" ref="B225">_xlfn.XLOOKUP(A225,Trips[ID],Trips[Trip],"",0)</f>
        <v>ESV Shakira 2026</v>
      </c>
      <c r="C225" s="48" t="s">
        <v>118</v>
      </c>
      <c r="D225" s="50">
        <v>46062</v>
      </c>
      <c r="E225" s="53" t="s">
        <v>37</v>
      </c>
      <c r="F225" s="48" t="s">
        <v>240</v>
      </c>
      <c r="G225" s="53" t="s">
        <v>18</v>
      </c>
      <c r="H225" s="20" t="s">
        <v>16</v>
      </c>
      <c r="I225" s="48" t="s">
        <v>35</v>
      </c>
      <c r="J225" s="70">
        <v>26.42</v>
      </c>
      <c r="K225" s="72">
        <v>5.95</v>
      </c>
      <c r="L225" s="22">
        <f t="shared" si="6"/>
        <v>157.19900000000001</v>
      </c>
      <c r="M225" s="24">
        <f t="shared" si="7"/>
        <v>5.95</v>
      </c>
    </row>
    <row r="226" spans="1:13" ht="13.15" x14ac:dyDescent="0.4">
      <c r="A226" s="46" t="s">
        <v>8</v>
      </c>
      <c r="B226" s="16" t="str">
        <f t="array" ref="B226">_xlfn.XLOOKUP(A226,Trips[ID],Trips[Trip],"",0)</f>
        <v>ESV Shakira 2026</v>
      </c>
      <c r="C226" s="47" t="s">
        <v>118</v>
      </c>
      <c r="D226" s="51">
        <v>46062</v>
      </c>
      <c r="E226" s="54" t="s">
        <v>37</v>
      </c>
      <c r="F226" s="47" t="s">
        <v>241</v>
      </c>
      <c r="G226" s="56" t="s">
        <v>16</v>
      </c>
      <c r="H226" s="20" t="s">
        <v>16</v>
      </c>
      <c r="I226" s="47" t="s">
        <v>35</v>
      </c>
      <c r="J226" s="70">
        <v>26.42</v>
      </c>
      <c r="K226" s="71">
        <v>2.85</v>
      </c>
      <c r="L226" s="22">
        <f t="shared" si="6"/>
        <v>75.297000000000011</v>
      </c>
      <c r="M226" s="24">
        <f t="shared" si="7"/>
        <v>2.85</v>
      </c>
    </row>
    <row r="227" spans="1:13" ht="13.15" x14ac:dyDescent="0.4">
      <c r="A227" s="46" t="s">
        <v>8</v>
      </c>
      <c r="B227" s="16" t="str">
        <f t="array" ref="B227">_xlfn.XLOOKUP(A227,Trips[ID],Trips[Trip],"",0)</f>
        <v>ESV Shakira 2026</v>
      </c>
      <c r="C227" s="48" t="s">
        <v>118</v>
      </c>
      <c r="D227" s="50">
        <v>46062</v>
      </c>
      <c r="E227" s="53" t="s">
        <v>37</v>
      </c>
      <c r="F227" s="48" t="s">
        <v>242</v>
      </c>
      <c r="G227" s="65" t="s">
        <v>13</v>
      </c>
      <c r="H227" s="20" t="s">
        <v>16</v>
      </c>
      <c r="I227" s="48" t="s">
        <v>35</v>
      </c>
      <c r="J227" s="70">
        <v>26.42</v>
      </c>
      <c r="K227" s="72">
        <v>5.5</v>
      </c>
      <c r="L227" s="22">
        <f t="shared" si="6"/>
        <v>145.31</v>
      </c>
      <c r="M227" s="24">
        <f t="shared" si="7"/>
        <v>5.5</v>
      </c>
    </row>
    <row r="228" spans="1:13" ht="13.15" x14ac:dyDescent="0.4">
      <c r="A228" s="46" t="s">
        <v>8</v>
      </c>
      <c r="B228" s="16" t="str">
        <f t="array" ref="B228">_xlfn.XLOOKUP(A228,Trips[ID],Trips[Trip],"",0)</f>
        <v>ESV Shakira 2026</v>
      </c>
      <c r="C228" s="47" t="s">
        <v>33</v>
      </c>
      <c r="D228" s="51">
        <v>46028</v>
      </c>
      <c r="E228" s="59" t="s">
        <v>34</v>
      </c>
      <c r="F228" s="47" t="s">
        <v>33</v>
      </c>
      <c r="G228" s="64" t="s">
        <v>9</v>
      </c>
      <c r="H228" s="20" t="s">
        <v>16</v>
      </c>
      <c r="I228" s="47" t="s">
        <v>35</v>
      </c>
      <c r="J228" s="70">
        <v>26.42</v>
      </c>
      <c r="K228" s="71">
        <v>222.53</v>
      </c>
      <c r="L228" s="22">
        <f t="shared" si="6"/>
        <v>5879.2426000000005</v>
      </c>
      <c r="M228" s="24">
        <f t="shared" si="7"/>
        <v>222.53</v>
      </c>
    </row>
    <row r="229" spans="1:13" ht="13.15" x14ac:dyDescent="0.4">
      <c r="A229" s="46" t="s">
        <v>8</v>
      </c>
      <c r="B229" s="16" t="str">
        <f t="array" ref="B229">_xlfn.XLOOKUP(A229,Trips[ID],Trips[Trip],"",0)</f>
        <v>ESV Shakira 2026</v>
      </c>
      <c r="C229" s="48" t="s">
        <v>123</v>
      </c>
      <c r="D229" s="50">
        <v>46028</v>
      </c>
      <c r="E229" s="61" t="s">
        <v>34</v>
      </c>
      <c r="F229" s="48" t="s">
        <v>243</v>
      </c>
      <c r="G229" s="68" t="s">
        <v>9</v>
      </c>
      <c r="H229" s="20" t="s">
        <v>16</v>
      </c>
      <c r="I229" s="48" t="s">
        <v>35</v>
      </c>
      <c r="J229" s="70">
        <v>26.42</v>
      </c>
      <c r="K229" s="72">
        <v>395.5</v>
      </c>
      <c r="L229" s="22">
        <f t="shared" si="6"/>
        <v>10449.11</v>
      </c>
      <c r="M229" s="24">
        <f t="shared" si="7"/>
        <v>395.5</v>
      </c>
    </row>
    <row r="230" spans="1:13" ht="13.15" x14ac:dyDescent="0.4">
      <c r="A230" s="46" t="s">
        <v>8</v>
      </c>
      <c r="B230" s="16" t="str">
        <f t="array" ref="B230">_xlfn.XLOOKUP(A230,Trips[ID],Trips[Trip],"",0)</f>
        <v>ESV Shakira 2026</v>
      </c>
      <c r="C230" s="47" t="s">
        <v>108</v>
      </c>
      <c r="D230" s="51">
        <v>46062</v>
      </c>
      <c r="E230" s="52" t="s">
        <v>108</v>
      </c>
      <c r="F230" s="47" t="s">
        <v>244</v>
      </c>
      <c r="G230" s="64" t="s">
        <v>9</v>
      </c>
      <c r="H230" s="20" t="s">
        <v>16</v>
      </c>
      <c r="I230" s="47" t="s">
        <v>39</v>
      </c>
      <c r="J230" s="70">
        <v>26.42</v>
      </c>
      <c r="K230" s="71">
        <v>946.3</v>
      </c>
      <c r="L230" s="22">
        <f t="shared" si="6"/>
        <v>946.3</v>
      </c>
      <c r="M230" s="24">
        <f t="shared" si="7"/>
        <v>35.817562452687355</v>
      </c>
    </row>
    <row r="231" spans="1:13" ht="12.75" x14ac:dyDescent="0.35">
      <c r="I231" s="44"/>
    </row>
    <row r="232" spans="1:13" ht="12.75" x14ac:dyDescent="0.35">
      <c r="I232" s="44"/>
    </row>
    <row r="233" spans="1:13" ht="12.75" x14ac:dyDescent="0.35">
      <c r="I233" s="44"/>
    </row>
    <row r="234" spans="1:13" ht="12.75" x14ac:dyDescent="0.35">
      <c r="I234" s="44"/>
    </row>
    <row r="235" spans="1:13" ht="12.75" x14ac:dyDescent="0.35">
      <c r="I235" s="44"/>
    </row>
    <row r="236" spans="1:13" ht="12.75" x14ac:dyDescent="0.35">
      <c r="I236" s="44"/>
    </row>
    <row r="237" spans="1:13" ht="12.75" x14ac:dyDescent="0.35">
      <c r="I237" s="44"/>
    </row>
    <row r="238" spans="1:13" ht="12.75" x14ac:dyDescent="0.35">
      <c r="I238" s="44"/>
    </row>
    <row r="239" spans="1:13" ht="12.75" x14ac:dyDescent="0.35">
      <c r="I239" s="44"/>
    </row>
    <row r="240" spans="1:13" ht="12.75" x14ac:dyDescent="0.35">
      <c r="I240" s="44"/>
    </row>
    <row r="241" spans="9:9" ht="12.75" x14ac:dyDescent="0.35">
      <c r="I241" s="44"/>
    </row>
    <row r="242" spans="9:9" ht="12.75" x14ac:dyDescent="0.35">
      <c r="I242" s="44"/>
    </row>
    <row r="243" spans="9:9" ht="12.75" x14ac:dyDescent="0.35">
      <c r="I243" s="44"/>
    </row>
    <row r="244" spans="9:9" ht="12.75" x14ac:dyDescent="0.35">
      <c r="I244" s="44"/>
    </row>
    <row r="245" spans="9:9" ht="12.75" x14ac:dyDescent="0.35">
      <c r="I245" s="44"/>
    </row>
    <row r="246" spans="9:9" ht="12.75" x14ac:dyDescent="0.35">
      <c r="I246" s="44"/>
    </row>
    <row r="247" spans="9:9" ht="12.75" x14ac:dyDescent="0.35">
      <c r="I247" s="44"/>
    </row>
    <row r="248" spans="9:9" ht="12.75" x14ac:dyDescent="0.35">
      <c r="I248" s="44"/>
    </row>
    <row r="249" spans="9:9" ht="12.75" x14ac:dyDescent="0.35">
      <c r="I249" s="44"/>
    </row>
    <row r="250" spans="9:9" ht="12.75" x14ac:dyDescent="0.35">
      <c r="I250" s="44"/>
    </row>
    <row r="251" spans="9:9" ht="12.75" x14ac:dyDescent="0.35">
      <c r="I251" s="44"/>
    </row>
    <row r="252" spans="9:9" ht="12.75" x14ac:dyDescent="0.35">
      <c r="I252" s="44"/>
    </row>
    <row r="253" spans="9:9" ht="12.75" x14ac:dyDescent="0.35">
      <c r="I253" s="44"/>
    </row>
    <row r="254" spans="9:9" ht="12.75" x14ac:dyDescent="0.35">
      <c r="I254" s="44"/>
    </row>
    <row r="255" spans="9:9" ht="12.75" x14ac:dyDescent="0.35">
      <c r="I255" s="44"/>
    </row>
    <row r="256" spans="9:9" ht="12.75" x14ac:dyDescent="0.35">
      <c r="I256" s="44"/>
    </row>
    <row r="257" spans="9:9" ht="12.75" x14ac:dyDescent="0.35">
      <c r="I257" s="44"/>
    </row>
    <row r="258" spans="9:9" ht="12.75" x14ac:dyDescent="0.35">
      <c r="I258" s="44"/>
    </row>
    <row r="259" spans="9:9" ht="12.75" x14ac:dyDescent="0.35">
      <c r="I259" s="44"/>
    </row>
    <row r="260" spans="9:9" ht="12.75" x14ac:dyDescent="0.35">
      <c r="I260" s="44"/>
    </row>
    <row r="261" spans="9:9" ht="12.75" x14ac:dyDescent="0.35">
      <c r="I261" s="44"/>
    </row>
    <row r="262" spans="9:9" ht="12.75" x14ac:dyDescent="0.35">
      <c r="I262" s="44"/>
    </row>
    <row r="263" spans="9:9" ht="12.75" x14ac:dyDescent="0.35">
      <c r="I263" s="44"/>
    </row>
    <row r="264" spans="9:9" ht="12.75" x14ac:dyDescent="0.35">
      <c r="I264" s="44"/>
    </row>
    <row r="265" spans="9:9" ht="12.75" x14ac:dyDescent="0.35">
      <c r="I265" s="44"/>
    </row>
    <row r="266" spans="9:9" ht="12.75" x14ac:dyDescent="0.35">
      <c r="I266" s="44"/>
    </row>
    <row r="267" spans="9:9" ht="12.75" x14ac:dyDescent="0.35">
      <c r="I267" s="44"/>
    </row>
    <row r="268" spans="9:9" ht="12.75" x14ac:dyDescent="0.35">
      <c r="I268" s="44"/>
    </row>
    <row r="269" spans="9:9" ht="12.75" x14ac:dyDescent="0.35">
      <c r="I269" s="44"/>
    </row>
    <row r="270" spans="9:9" ht="12.75" x14ac:dyDescent="0.35">
      <c r="I270" s="44"/>
    </row>
    <row r="271" spans="9:9" ht="12.75" x14ac:dyDescent="0.35">
      <c r="I271" s="44"/>
    </row>
    <row r="272" spans="9:9" ht="12.75" x14ac:dyDescent="0.35">
      <c r="I272" s="44"/>
    </row>
    <row r="273" spans="9:9" ht="12.75" x14ac:dyDescent="0.35">
      <c r="I273" s="44"/>
    </row>
    <row r="274" spans="9:9" ht="12.75" x14ac:dyDescent="0.35">
      <c r="I274" s="44"/>
    </row>
    <row r="275" spans="9:9" ht="12.75" x14ac:dyDescent="0.35">
      <c r="I275" s="44"/>
    </row>
    <row r="276" spans="9:9" ht="12.75" x14ac:dyDescent="0.35">
      <c r="I276" s="44"/>
    </row>
    <row r="277" spans="9:9" ht="12.75" x14ac:dyDescent="0.35">
      <c r="I277" s="44"/>
    </row>
    <row r="278" spans="9:9" ht="12.75" x14ac:dyDescent="0.35">
      <c r="I278" s="44"/>
    </row>
    <row r="279" spans="9:9" ht="12.75" x14ac:dyDescent="0.35">
      <c r="I279" s="44"/>
    </row>
    <row r="280" spans="9:9" ht="12.75" x14ac:dyDescent="0.35">
      <c r="I280" s="44"/>
    </row>
    <row r="281" spans="9:9" ht="12.75" x14ac:dyDescent="0.35">
      <c r="I281" s="44"/>
    </row>
    <row r="282" spans="9:9" ht="12.75" x14ac:dyDescent="0.35">
      <c r="I282" s="44"/>
    </row>
    <row r="283" spans="9:9" ht="12.75" x14ac:dyDescent="0.35">
      <c r="I283" s="44"/>
    </row>
    <row r="284" spans="9:9" ht="12.75" x14ac:dyDescent="0.35">
      <c r="I284" s="44"/>
    </row>
    <row r="285" spans="9:9" ht="12.75" x14ac:dyDescent="0.35">
      <c r="I285" s="44"/>
    </row>
    <row r="286" spans="9:9" ht="12.75" x14ac:dyDescent="0.35">
      <c r="I286" s="44"/>
    </row>
    <row r="287" spans="9:9" ht="12.75" x14ac:dyDescent="0.35">
      <c r="I287" s="44"/>
    </row>
    <row r="288" spans="9:9" ht="12.75" x14ac:dyDescent="0.35">
      <c r="I288" s="44"/>
    </row>
    <row r="289" spans="9:9" ht="12.75" x14ac:dyDescent="0.35">
      <c r="I289" s="44"/>
    </row>
    <row r="290" spans="9:9" ht="12.75" x14ac:dyDescent="0.35">
      <c r="I290" s="44"/>
    </row>
    <row r="291" spans="9:9" ht="12.75" x14ac:dyDescent="0.35">
      <c r="I291" s="44"/>
    </row>
    <row r="292" spans="9:9" ht="12.75" x14ac:dyDescent="0.35">
      <c r="I292" s="44"/>
    </row>
    <row r="293" spans="9:9" ht="12.75" x14ac:dyDescent="0.35">
      <c r="I293" s="44"/>
    </row>
    <row r="294" spans="9:9" ht="12.75" x14ac:dyDescent="0.35">
      <c r="I294" s="44"/>
    </row>
    <row r="295" spans="9:9" ht="12.75" x14ac:dyDescent="0.35">
      <c r="I295" s="44"/>
    </row>
    <row r="296" spans="9:9" ht="12.75" x14ac:dyDescent="0.35">
      <c r="I296" s="44"/>
    </row>
    <row r="297" spans="9:9" ht="12.75" x14ac:dyDescent="0.35">
      <c r="I297" s="44"/>
    </row>
    <row r="298" spans="9:9" ht="12.75" x14ac:dyDescent="0.35">
      <c r="I298" s="44"/>
    </row>
    <row r="299" spans="9:9" ht="12.75" x14ac:dyDescent="0.35">
      <c r="I299" s="44"/>
    </row>
    <row r="300" spans="9:9" ht="12.75" x14ac:dyDescent="0.35">
      <c r="I300" s="44"/>
    </row>
    <row r="301" spans="9:9" ht="12.75" x14ac:dyDescent="0.35">
      <c r="I301" s="44"/>
    </row>
    <row r="302" spans="9:9" ht="12.75" x14ac:dyDescent="0.35">
      <c r="I302" s="44"/>
    </row>
    <row r="303" spans="9:9" ht="12.75" x14ac:dyDescent="0.35">
      <c r="I303" s="44"/>
    </row>
    <row r="304" spans="9:9" ht="12.75" x14ac:dyDescent="0.35">
      <c r="I304" s="44"/>
    </row>
    <row r="305" spans="9:9" ht="12.75" x14ac:dyDescent="0.35">
      <c r="I305" s="44"/>
    </row>
    <row r="306" spans="9:9" ht="12.75" x14ac:dyDescent="0.35">
      <c r="I306" s="44"/>
    </row>
    <row r="307" spans="9:9" ht="12.75" x14ac:dyDescent="0.35">
      <c r="I307" s="44"/>
    </row>
    <row r="308" spans="9:9" ht="12.75" x14ac:dyDescent="0.35">
      <c r="I308" s="44"/>
    </row>
    <row r="309" spans="9:9" ht="12.75" x14ac:dyDescent="0.35">
      <c r="I309" s="44"/>
    </row>
    <row r="310" spans="9:9" ht="12.75" x14ac:dyDescent="0.35">
      <c r="I310" s="44"/>
    </row>
    <row r="311" spans="9:9" ht="12.75" x14ac:dyDescent="0.35">
      <c r="I311" s="44"/>
    </row>
    <row r="312" spans="9:9" ht="12.75" x14ac:dyDescent="0.35">
      <c r="I312" s="44"/>
    </row>
    <row r="313" spans="9:9" ht="12.75" x14ac:dyDescent="0.35">
      <c r="I313" s="44"/>
    </row>
    <row r="314" spans="9:9" ht="12.75" x14ac:dyDescent="0.35">
      <c r="I314" s="44"/>
    </row>
    <row r="315" spans="9:9" ht="12.75" x14ac:dyDescent="0.35">
      <c r="I315" s="44"/>
    </row>
    <row r="316" spans="9:9" ht="12.75" x14ac:dyDescent="0.35">
      <c r="I316" s="44"/>
    </row>
    <row r="317" spans="9:9" ht="12.75" x14ac:dyDescent="0.35">
      <c r="I317" s="44"/>
    </row>
    <row r="318" spans="9:9" ht="12.75" x14ac:dyDescent="0.35">
      <c r="I318" s="44"/>
    </row>
    <row r="319" spans="9:9" ht="12.75" x14ac:dyDescent="0.35">
      <c r="I319" s="44"/>
    </row>
    <row r="320" spans="9:9" ht="12.75" x14ac:dyDescent="0.35">
      <c r="I320" s="44"/>
    </row>
    <row r="321" spans="9:9" ht="12.75" x14ac:dyDescent="0.35">
      <c r="I321" s="44"/>
    </row>
    <row r="322" spans="9:9" ht="12.75" x14ac:dyDescent="0.35">
      <c r="I322" s="44"/>
    </row>
    <row r="323" spans="9:9" ht="12.75" x14ac:dyDescent="0.35">
      <c r="I323" s="44"/>
    </row>
    <row r="324" spans="9:9" ht="12.75" x14ac:dyDescent="0.35">
      <c r="I324" s="44"/>
    </row>
    <row r="325" spans="9:9" ht="12.75" x14ac:dyDescent="0.35">
      <c r="I325" s="44"/>
    </row>
    <row r="326" spans="9:9" ht="12.75" x14ac:dyDescent="0.35">
      <c r="I326" s="44"/>
    </row>
    <row r="327" spans="9:9" ht="12.75" x14ac:dyDescent="0.35">
      <c r="I327" s="44"/>
    </row>
    <row r="328" spans="9:9" ht="12.75" x14ac:dyDescent="0.35">
      <c r="I328" s="44"/>
    </row>
    <row r="329" spans="9:9" ht="12.75" x14ac:dyDescent="0.35">
      <c r="I329" s="44"/>
    </row>
    <row r="330" spans="9:9" ht="12.75" x14ac:dyDescent="0.35">
      <c r="I330" s="44"/>
    </row>
    <row r="331" spans="9:9" ht="12.75" x14ac:dyDescent="0.35">
      <c r="I331" s="44"/>
    </row>
    <row r="332" spans="9:9" ht="12.75" x14ac:dyDescent="0.35">
      <c r="I332" s="44"/>
    </row>
    <row r="333" spans="9:9" ht="12.75" x14ac:dyDescent="0.35">
      <c r="I333" s="44"/>
    </row>
    <row r="334" spans="9:9" ht="12.75" x14ac:dyDescent="0.35">
      <c r="I334" s="44"/>
    </row>
    <row r="335" spans="9:9" ht="12.75" x14ac:dyDescent="0.35">
      <c r="I335" s="44"/>
    </row>
    <row r="336" spans="9:9" ht="12.75" x14ac:dyDescent="0.35">
      <c r="I336" s="44"/>
    </row>
    <row r="337" spans="9:9" ht="12.75" x14ac:dyDescent="0.35">
      <c r="I337" s="44"/>
    </row>
    <row r="338" spans="9:9" ht="12.75" x14ac:dyDescent="0.35">
      <c r="I338" s="44"/>
    </row>
    <row r="339" spans="9:9" ht="12.75" x14ac:dyDescent="0.35">
      <c r="I339" s="44"/>
    </row>
    <row r="340" spans="9:9" ht="12.75" x14ac:dyDescent="0.35">
      <c r="I340" s="44"/>
    </row>
    <row r="341" spans="9:9" ht="12.75" x14ac:dyDescent="0.35">
      <c r="I341" s="44"/>
    </row>
    <row r="342" spans="9:9" ht="12.75" x14ac:dyDescent="0.35">
      <c r="I342" s="44"/>
    </row>
    <row r="343" spans="9:9" ht="12.75" x14ac:dyDescent="0.35">
      <c r="I343" s="44"/>
    </row>
    <row r="344" spans="9:9" ht="12.75" x14ac:dyDescent="0.35">
      <c r="I344" s="44"/>
    </row>
    <row r="345" spans="9:9" ht="12.75" x14ac:dyDescent="0.35">
      <c r="I345" s="44"/>
    </row>
    <row r="346" spans="9:9" ht="12.75" x14ac:dyDescent="0.35">
      <c r="I346" s="44"/>
    </row>
    <row r="347" spans="9:9" ht="12.75" x14ac:dyDescent="0.35">
      <c r="I347" s="44"/>
    </row>
    <row r="348" spans="9:9" ht="12.75" x14ac:dyDescent="0.35">
      <c r="I348" s="44"/>
    </row>
    <row r="349" spans="9:9" ht="12.75" x14ac:dyDescent="0.35">
      <c r="I349" s="44"/>
    </row>
    <row r="350" spans="9:9" ht="12.75" x14ac:dyDescent="0.35">
      <c r="I350" s="44"/>
    </row>
    <row r="351" spans="9:9" ht="12.75" x14ac:dyDescent="0.35">
      <c r="I351" s="44"/>
    </row>
    <row r="352" spans="9:9" ht="12.75" x14ac:dyDescent="0.35">
      <c r="I352" s="44"/>
    </row>
    <row r="353" spans="9:9" ht="12.75" x14ac:dyDescent="0.35">
      <c r="I353" s="44"/>
    </row>
    <row r="354" spans="9:9" ht="12.75" x14ac:dyDescent="0.35">
      <c r="I354" s="44"/>
    </row>
    <row r="355" spans="9:9" ht="12.75" x14ac:dyDescent="0.35">
      <c r="I355" s="44"/>
    </row>
    <row r="356" spans="9:9" ht="12.75" x14ac:dyDescent="0.35">
      <c r="I356" s="44"/>
    </row>
    <row r="357" spans="9:9" ht="12.75" x14ac:dyDescent="0.35">
      <c r="I357" s="44"/>
    </row>
    <row r="358" spans="9:9" ht="12.75" x14ac:dyDescent="0.35">
      <c r="I358" s="44"/>
    </row>
    <row r="359" spans="9:9" ht="12.75" x14ac:dyDescent="0.35">
      <c r="I359" s="44"/>
    </row>
    <row r="360" spans="9:9" ht="12.75" x14ac:dyDescent="0.35">
      <c r="I360" s="44"/>
    </row>
    <row r="361" spans="9:9" ht="12.75" x14ac:dyDescent="0.35">
      <c r="I361" s="44"/>
    </row>
    <row r="362" spans="9:9" ht="12.75" x14ac:dyDescent="0.35">
      <c r="I362" s="44"/>
    </row>
    <row r="363" spans="9:9" ht="12.75" x14ac:dyDescent="0.35">
      <c r="I363" s="44"/>
    </row>
    <row r="364" spans="9:9" ht="12.75" x14ac:dyDescent="0.35">
      <c r="I364" s="44"/>
    </row>
    <row r="365" spans="9:9" ht="12.75" x14ac:dyDescent="0.35">
      <c r="I365" s="44"/>
    </row>
    <row r="366" spans="9:9" ht="12.75" x14ac:dyDescent="0.35">
      <c r="I366" s="44"/>
    </row>
    <row r="367" spans="9:9" ht="12.75" x14ac:dyDescent="0.35">
      <c r="I367" s="44"/>
    </row>
    <row r="368" spans="9:9" ht="12.75" x14ac:dyDescent="0.35">
      <c r="I368" s="44"/>
    </row>
    <row r="369" spans="9:9" ht="12.75" x14ac:dyDescent="0.35">
      <c r="I369" s="44"/>
    </row>
    <row r="370" spans="9:9" ht="12.75" x14ac:dyDescent="0.35">
      <c r="I370" s="44"/>
    </row>
    <row r="371" spans="9:9" ht="12.75" x14ac:dyDescent="0.35">
      <c r="I371" s="44"/>
    </row>
    <row r="372" spans="9:9" ht="12.75" x14ac:dyDescent="0.35">
      <c r="I372" s="44"/>
    </row>
    <row r="373" spans="9:9" ht="12.75" x14ac:dyDescent="0.35">
      <c r="I373" s="44"/>
    </row>
    <row r="374" spans="9:9" ht="12.75" x14ac:dyDescent="0.35">
      <c r="I374" s="44"/>
    </row>
    <row r="375" spans="9:9" ht="12.75" x14ac:dyDescent="0.35">
      <c r="I375" s="44"/>
    </row>
    <row r="376" spans="9:9" ht="12.75" x14ac:dyDescent="0.35">
      <c r="I376" s="44"/>
    </row>
    <row r="377" spans="9:9" ht="12.75" x14ac:dyDescent="0.35">
      <c r="I377" s="44"/>
    </row>
    <row r="378" spans="9:9" ht="12.75" x14ac:dyDescent="0.35">
      <c r="I378" s="44"/>
    </row>
    <row r="379" spans="9:9" ht="12.75" x14ac:dyDescent="0.35">
      <c r="I379" s="44"/>
    </row>
    <row r="380" spans="9:9" ht="12.75" x14ac:dyDescent="0.35">
      <c r="I380" s="44"/>
    </row>
    <row r="381" spans="9:9" ht="12.75" x14ac:dyDescent="0.35">
      <c r="I381" s="44"/>
    </row>
    <row r="382" spans="9:9" ht="12.75" x14ac:dyDescent="0.35">
      <c r="I382" s="44"/>
    </row>
    <row r="383" spans="9:9" ht="12.75" x14ac:dyDescent="0.35">
      <c r="I383" s="44"/>
    </row>
    <row r="384" spans="9:9" ht="12.75" x14ac:dyDescent="0.35">
      <c r="I384" s="44"/>
    </row>
    <row r="385" spans="9:9" ht="12.75" x14ac:dyDescent="0.35">
      <c r="I385" s="44"/>
    </row>
    <row r="386" spans="9:9" ht="12.75" x14ac:dyDescent="0.35">
      <c r="I386" s="44"/>
    </row>
    <row r="387" spans="9:9" ht="12.75" x14ac:dyDescent="0.35">
      <c r="I387" s="44"/>
    </row>
    <row r="388" spans="9:9" ht="12.75" x14ac:dyDescent="0.35">
      <c r="I388" s="44"/>
    </row>
    <row r="389" spans="9:9" ht="12.75" x14ac:dyDescent="0.35">
      <c r="I389" s="44"/>
    </row>
    <row r="390" spans="9:9" ht="12.75" x14ac:dyDescent="0.35">
      <c r="I390" s="44"/>
    </row>
    <row r="391" spans="9:9" ht="12.75" x14ac:dyDescent="0.35">
      <c r="I391" s="44"/>
    </row>
    <row r="392" spans="9:9" ht="12.75" x14ac:dyDescent="0.35">
      <c r="I392" s="44"/>
    </row>
    <row r="393" spans="9:9" ht="12.75" x14ac:dyDescent="0.35">
      <c r="I393" s="44"/>
    </row>
    <row r="394" spans="9:9" ht="12.75" x14ac:dyDescent="0.35">
      <c r="I394" s="44"/>
    </row>
    <row r="395" spans="9:9" ht="12.75" x14ac:dyDescent="0.35">
      <c r="I395" s="44"/>
    </row>
    <row r="396" spans="9:9" ht="12.75" x14ac:dyDescent="0.35">
      <c r="I396" s="44"/>
    </row>
    <row r="397" spans="9:9" ht="12.75" x14ac:dyDescent="0.35">
      <c r="I397" s="44"/>
    </row>
    <row r="398" spans="9:9" ht="12.75" x14ac:dyDescent="0.35">
      <c r="I398" s="44"/>
    </row>
    <row r="399" spans="9:9" ht="12.75" x14ac:dyDescent="0.35">
      <c r="I399" s="44"/>
    </row>
    <row r="400" spans="9:9" ht="12.75" x14ac:dyDescent="0.35">
      <c r="I400" s="44"/>
    </row>
    <row r="401" spans="9:9" ht="12.75" x14ac:dyDescent="0.35">
      <c r="I401" s="44"/>
    </row>
    <row r="402" spans="9:9" ht="12.75" x14ac:dyDescent="0.35">
      <c r="I402" s="44"/>
    </row>
    <row r="403" spans="9:9" ht="12.75" x14ac:dyDescent="0.35">
      <c r="I403" s="44"/>
    </row>
    <row r="404" spans="9:9" ht="12.75" x14ac:dyDescent="0.35">
      <c r="I404" s="44"/>
    </row>
    <row r="405" spans="9:9" ht="12.75" x14ac:dyDescent="0.35">
      <c r="I405" s="44"/>
    </row>
    <row r="406" spans="9:9" ht="12.75" x14ac:dyDescent="0.35">
      <c r="I406" s="44"/>
    </row>
    <row r="407" spans="9:9" ht="12.75" x14ac:dyDescent="0.35">
      <c r="I407" s="44"/>
    </row>
    <row r="408" spans="9:9" ht="12.75" x14ac:dyDescent="0.35">
      <c r="I408" s="44"/>
    </row>
    <row r="409" spans="9:9" ht="12.75" x14ac:dyDescent="0.35">
      <c r="I409" s="44"/>
    </row>
    <row r="410" spans="9:9" ht="12.75" x14ac:dyDescent="0.35">
      <c r="I410" s="44"/>
    </row>
    <row r="411" spans="9:9" ht="12.75" x14ac:dyDescent="0.35">
      <c r="I411" s="44"/>
    </row>
    <row r="412" spans="9:9" ht="12.75" x14ac:dyDescent="0.35">
      <c r="I412" s="44"/>
    </row>
    <row r="413" spans="9:9" ht="12.75" x14ac:dyDescent="0.35">
      <c r="I413" s="44"/>
    </row>
    <row r="414" spans="9:9" ht="12.75" x14ac:dyDescent="0.35">
      <c r="I414" s="44"/>
    </row>
    <row r="415" spans="9:9" ht="12.75" x14ac:dyDescent="0.35">
      <c r="I415" s="44"/>
    </row>
    <row r="416" spans="9:9" ht="12.75" x14ac:dyDescent="0.35">
      <c r="I416" s="44"/>
    </row>
    <row r="417" spans="9:9" ht="12.75" x14ac:dyDescent="0.35">
      <c r="I417" s="44"/>
    </row>
    <row r="418" spans="9:9" ht="12.75" x14ac:dyDescent="0.35">
      <c r="I418" s="44"/>
    </row>
    <row r="419" spans="9:9" ht="12.75" x14ac:dyDescent="0.35">
      <c r="I419" s="44"/>
    </row>
    <row r="420" spans="9:9" ht="12.75" x14ac:dyDescent="0.35">
      <c r="I420" s="44"/>
    </row>
    <row r="421" spans="9:9" ht="12.75" x14ac:dyDescent="0.35">
      <c r="I421" s="44"/>
    </row>
    <row r="422" spans="9:9" ht="12.75" x14ac:dyDescent="0.35">
      <c r="I422" s="44"/>
    </row>
    <row r="423" spans="9:9" ht="12.75" x14ac:dyDescent="0.35">
      <c r="I423" s="44"/>
    </row>
    <row r="424" spans="9:9" ht="12.75" x14ac:dyDescent="0.35">
      <c r="I424" s="44"/>
    </row>
    <row r="425" spans="9:9" ht="12.75" x14ac:dyDescent="0.35">
      <c r="I425" s="44"/>
    </row>
    <row r="426" spans="9:9" ht="12.75" x14ac:dyDescent="0.35">
      <c r="I426" s="44"/>
    </row>
    <row r="427" spans="9:9" ht="12.75" x14ac:dyDescent="0.35">
      <c r="I427" s="44"/>
    </row>
    <row r="428" spans="9:9" ht="12.75" x14ac:dyDescent="0.35">
      <c r="I428" s="44"/>
    </row>
    <row r="429" spans="9:9" ht="12.75" x14ac:dyDescent="0.35">
      <c r="I429" s="44"/>
    </row>
    <row r="430" spans="9:9" ht="12.75" x14ac:dyDescent="0.35">
      <c r="I430" s="44"/>
    </row>
    <row r="431" spans="9:9" ht="12.75" x14ac:dyDescent="0.35">
      <c r="I431" s="44"/>
    </row>
    <row r="432" spans="9:9" ht="12.75" x14ac:dyDescent="0.35">
      <c r="I432" s="44"/>
    </row>
    <row r="433" spans="9:9" ht="12.75" x14ac:dyDescent="0.35">
      <c r="I433" s="44"/>
    </row>
    <row r="434" spans="9:9" ht="12.75" x14ac:dyDescent="0.35">
      <c r="I434" s="44"/>
    </row>
    <row r="435" spans="9:9" ht="12.75" x14ac:dyDescent="0.35">
      <c r="I435" s="44"/>
    </row>
    <row r="436" spans="9:9" ht="12.75" x14ac:dyDescent="0.35">
      <c r="I436" s="44"/>
    </row>
    <row r="437" spans="9:9" ht="12.75" x14ac:dyDescent="0.35">
      <c r="I437" s="44"/>
    </row>
    <row r="438" spans="9:9" ht="12.75" x14ac:dyDescent="0.35">
      <c r="I438" s="44"/>
    </row>
    <row r="439" spans="9:9" ht="12.75" x14ac:dyDescent="0.35">
      <c r="I439" s="44"/>
    </row>
    <row r="440" spans="9:9" ht="12.75" x14ac:dyDescent="0.35">
      <c r="I440" s="44"/>
    </row>
    <row r="441" spans="9:9" ht="12.75" x14ac:dyDescent="0.35">
      <c r="I441" s="44"/>
    </row>
    <row r="442" spans="9:9" ht="12.75" x14ac:dyDescent="0.35">
      <c r="I442" s="44"/>
    </row>
    <row r="443" spans="9:9" ht="12.75" x14ac:dyDescent="0.35">
      <c r="I443" s="44"/>
    </row>
    <row r="444" spans="9:9" ht="12.75" x14ac:dyDescent="0.35">
      <c r="I444" s="44"/>
    </row>
    <row r="445" spans="9:9" ht="12.75" x14ac:dyDescent="0.35">
      <c r="I445" s="44"/>
    </row>
    <row r="446" spans="9:9" ht="12.75" x14ac:dyDescent="0.35">
      <c r="I446" s="44"/>
    </row>
    <row r="447" spans="9:9" ht="12.75" x14ac:dyDescent="0.35">
      <c r="I447" s="44"/>
    </row>
    <row r="448" spans="9:9" ht="12.75" x14ac:dyDescent="0.35">
      <c r="I448" s="44"/>
    </row>
    <row r="449" spans="9:9" ht="12.75" x14ac:dyDescent="0.35">
      <c r="I449" s="44"/>
    </row>
    <row r="450" spans="9:9" ht="12.75" x14ac:dyDescent="0.35">
      <c r="I450" s="44"/>
    </row>
    <row r="451" spans="9:9" ht="12.75" x14ac:dyDescent="0.35">
      <c r="I451" s="44"/>
    </row>
    <row r="452" spans="9:9" ht="12.75" x14ac:dyDescent="0.35">
      <c r="I452" s="44"/>
    </row>
    <row r="453" spans="9:9" ht="12.75" x14ac:dyDescent="0.35">
      <c r="I453" s="44"/>
    </row>
    <row r="454" spans="9:9" ht="12.75" x14ac:dyDescent="0.35">
      <c r="I454" s="44"/>
    </row>
    <row r="455" spans="9:9" ht="12.75" x14ac:dyDescent="0.35">
      <c r="I455" s="44"/>
    </row>
    <row r="456" spans="9:9" ht="12.75" x14ac:dyDescent="0.35">
      <c r="I456" s="44"/>
    </row>
    <row r="457" spans="9:9" ht="12.75" x14ac:dyDescent="0.35">
      <c r="I457" s="44"/>
    </row>
    <row r="458" spans="9:9" ht="12.75" x14ac:dyDescent="0.35">
      <c r="I458" s="44"/>
    </row>
    <row r="459" spans="9:9" ht="12.75" x14ac:dyDescent="0.35">
      <c r="I459" s="44"/>
    </row>
    <row r="460" spans="9:9" ht="12.75" x14ac:dyDescent="0.35">
      <c r="I460" s="44"/>
    </row>
    <row r="461" spans="9:9" ht="12.75" x14ac:dyDescent="0.35">
      <c r="I461" s="44"/>
    </row>
    <row r="462" spans="9:9" ht="12.75" x14ac:dyDescent="0.35">
      <c r="I462" s="44"/>
    </row>
    <row r="463" spans="9:9" ht="12.75" x14ac:dyDescent="0.35">
      <c r="I463" s="44"/>
    </row>
    <row r="464" spans="9:9" ht="12.75" x14ac:dyDescent="0.35">
      <c r="I464" s="44"/>
    </row>
    <row r="465" spans="9:9" ht="12.75" x14ac:dyDescent="0.35">
      <c r="I465" s="44"/>
    </row>
    <row r="466" spans="9:9" ht="12.75" x14ac:dyDescent="0.35">
      <c r="I466" s="44"/>
    </row>
    <row r="467" spans="9:9" ht="12.75" x14ac:dyDescent="0.35">
      <c r="I467" s="44"/>
    </row>
    <row r="468" spans="9:9" ht="12.75" x14ac:dyDescent="0.35">
      <c r="I468" s="44"/>
    </row>
    <row r="469" spans="9:9" ht="12.75" x14ac:dyDescent="0.35">
      <c r="I469" s="44"/>
    </row>
    <row r="470" spans="9:9" ht="12.75" x14ac:dyDescent="0.35">
      <c r="I470" s="44"/>
    </row>
    <row r="471" spans="9:9" ht="12.75" x14ac:dyDescent="0.35">
      <c r="I471" s="44"/>
    </row>
    <row r="472" spans="9:9" ht="12.75" x14ac:dyDescent="0.35">
      <c r="I472" s="44"/>
    </row>
    <row r="473" spans="9:9" ht="12.75" x14ac:dyDescent="0.35">
      <c r="I473" s="44"/>
    </row>
    <row r="474" spans="9:9" ht="12.75" x14ac:dyDescent="0.35">
      <c r="I474" s="44"/>
    </row>
    <row r="475" spans="9:9" ht="12.75" x14ac:dyDescent="0.35">
      <c r="I475" s="44"/>
    </row>
    <row r="476" spans="9:9" ht="12.75" x14ac:dyDescent="0.35">
      <c r="I476" s="44"/>
    </row>
    <row r="477" spans="9:9" ht="12.75" x14ac:dyDescent="0.35">
      <c r="I477" s="44"/>
    </row>
    <row r="478" spans="9:9" ht="12.75" x14ac:dyDescent="0.35">
      <c r="I478" s="44"/>
    </row>
    <row r="479" spans="9:9" ht="12.75" x14ac:dyDescent="0.35">
      <c r="I479" s="44"/>
    </row>
    <row r="480" spans="9:9" ht="12.75" x14ac:dyDescent="0.35">
      <c r="I480" s="44"/>
    </row>
    <row r="481" spans="9:9" ht="12.75" x14ac:dyDescent="0.35">
      <c r="I481" s="44"/>
    </row>
    <row r="482" spans="9:9" ht="12.75" x14ac:dyDescent="0.35">
      <c r="I482" s="44"/>
    </row>
    <row r="483" spans="9:9" ht="12.75" x14ac:dyDescent="0.35">
      <c r="I483" s="44"/>
    </row>
    <row r="484" spans="9:9" ht="12.75" x14ac:dyDescent="0.35">
      <c r="I484" s="44"/>
    </row>
    <row r="485" spans="9:9" ht="12.75" x14ac:dyDescent="0.35">
      <c r="I485" s="44"/>
    </row>
    <row r="486" spans="9:9" ht="12.75" x14ac:dyDescent="0.35">
      <c r="I486" s="44"/>
    </row>
    <row r="487" spans="9:9" ht="12.75" x14ac:dyDescent="0.35">
      <c r="I487" s="44"/>
    </row>
    <row r="488" spans="9:9" ht="12.75" x14ac:dyDescent="0.35">
      <c r="I488" s="44"/>
    </row>
    <row r="489" spans="9:9" ht="12.75" x14ac:dyDescent="0.35">
      <c r="I489" s="44"/>
    </row>
    <row r="490" spans="9:9" ht="12.75" x14ac:dyDescent="0.35">
      <c r="I490" s="44"/>
    </row>
    <row r="491" spans="9:9" ht="12.75" x14ac:dyDescent="0.35">
      <c r="I491" s="44"/>
    </row>
    <row r="492" spans="9:9" ht="12.75" x14ac:dyDescent="0.35">
      <c r="I492" s="44"/>
    </row>
    <row r="493" spans="9:9" ht="12.75" x14ac:dyDescent="0.35">
      <c r="I493" s="44"/>
    </row>
    <row r="494" spans="9:9" ht="12.75" x14ac:dyDescent="0.35">
      <c r="I494" s="44"/>
    </row>
    <row r="495" spans="9:9" ht="12.75" x14ac:dyDescent="0.35">
      <c r="I495" s="44"/>
    </row>
    <row r="496" spans="9:9" ht="12.75" x14ac:dyDescent="0.35">
      <c r="I496" s="44"/>
    </row>
    <row r="497" spans="9:9" ht="12.75" x14ac:dyDescent="0.35">
      <c r="I497" s="44"/>
    </row>
    <row r="498" spans="9:9" ht="12.75" x14ac:dyDescent="0.35">
      <c r="I498" s="44"/>
    </row>
    <row r="499" spans="9:9" ht="12.75" x14ac:dyDescent="0.35">
      <c r="I499" s="44"/>
    </row>
    <row r="500" spans="9:9" ht="12.75" x14ac:dyDescent="0.35">
      <c r="I500" s="44"/>
    </row>
    <row r="501" spans="9:9" ht="12.75" x14ac:dyDescent="0.35">
      <c r="I501" s="44"/>
    </row>
    <row r="502" spans="9:9" ht="12.75" x14ac:dyDescent="0.35">
      <c r="I502" s="44"/>
    </row>
    <row r="503" spans="9:9" ht="12.75" x14ac:dyDescent="0.35">
      <c r="I503" s="44"/>
    </row>
    <row r="504" spans="9:9" ht="12.75" x14ac:dyDescent="0.35">
      <c r="I504" s="44"/>
    </row>
    <row r="505" spans="9:9" ht="12.75" x14ac:dyDescent="0.35">
      <c r="I505" s="44"/>
    </row>
    <row r="506" spans="9:9" ht="12.75" x14ac:dyDescent="0.35">
      <c r="I506" s="44"/>
    </row>
    <row r="507" spans="9:9" ht="12.75" x14ac:dyDescent="0.35">
      <c r="I507" s="44"/>
    </row>
    <row r="508" spans="9:9" ht="12.75" x14ac:dyDescent="0.35">
      <c r="I508" s="44"/>
    </row>
    <row r="509" spans="9:9" ht="12.75" x14ac:dyDescent="0.35">
      <c r="I509" s="44"/>
    </row>
    <row r="510" spans="9:9" ht="12.75" x14ac:dyDescent="0.35">
      <c r="I510" s="44"/>
    </row>
    <row r="511" spans="9:9" ht="12.75" x14ac:dyDescent="0.35">
      <c r="I511" s="44"/>
    </row>
    <row r="512" spans="9:9" ht="12.75" x14ac:dyDescent="0.35">
      <c r="I512" s="44"/>
    </row>
    <row r="513" spans="9:9" ht="12.75" x14ac:dyDescent="0.35">
      <c r="I513" s="44"/>
    </row>
    <row r="514" spans="9:9" ht="12.75" x14ac:dyDescent="0.35">
      <c r="I514" s="44"/>
    </row>
    <row r="515" spans="9:9" ht="12.75" x14ac:dyDescent="0.35">
      <c r="I515" s="44"/>
    </row>
    <row r="516" spans="9:9" ht="12.75" x14ac:dyDescent="0.35">
      <c r="I516" s="44"/>
    </row>
    <row r="517" spans="9:9" ht="12.75" x14ac:dyDescent="0.35">
      <c r="I517" s="44"/>
    </row>
    <row r="518" spans="9:9" ht="12.75" x14ac:dyDescent="0.35">
      <c r="I518" s="44"/>
    </row>
    <row r="519" spans="9:9" ht="12.75" x14ac:dyDescent="0.35">
      <c r="I519" s="44"/>
    </row>
    <row r="520" spans="9:9" ht="12.75" x14ac:dyDescent="0.35">
      <c r="I520" s="44"/>
    </row>
    <row r="521" spans="9:9" ht="12.75" x14ac:dyDescent="0.35">
      <c r="I521" s="44"/>
    </row>
    <row r="522" spans="9:9" ht="12.75" x14ac:dyDescent="0.35">
      <c r="I522" s="44"/>
    </row>
    <row r="523" spans="9:9" ht="12.75" x14ac:dyDescent="0.35">
      <c r="I523" s="44"/>
    </row>
    <row r="524" spans="9:9" ht="12.75" x14ac:dyDescent="0.35">
      <c r="I524" s="44"/>
    </row>
    <row r="525" spans="9:9" ht="12.75" x14ac:dyDescent="0.35">
      <c r="I525" s="44"/>
    </row>
    <row r="526" spans="9:9" ht="12.75" x14ac:dyDescent="0.35">
      <c r="I526" s="44"/>
    </row>
    <row r="527" spans="9:9" ht="12.75" x14ac:dyDescent="0.35">
      <c r="I527" s="44"/>
    </row>
    <row r="528" spans="9:9" ht="12.75" x14ac:dyDescent="0.35">
      <c r="I528" s="44"/>
    </row>
    <row r="529" spans="9:9" ht="12.75" x14ac:dyDescent="0.35">
      <c r="I529" s="44"/>
    </row>
    <row r="530" spans="9:9" ht="12.75" x14ac:dyDescent="0.35">
      <c r="I530" s="44"/>
    </row>
    <row r="531" spans="9:9" ht="12.75" x14ac:dyDescent="0.35">
      <c r="I531" s="44"/>
    </row>
    <row r="532" spans="9:9" ht="12.75" x14ac:dyDescent="0.35">
      <c r="I532" s="44"/>
    </row>
    <row r="533" spans="9:9" ht="12.75" x14ac:dyDescent="0.35">
      <c r="I533" s="44"/>
    </row>
    <row r="534" spans="9:9" ht="12.75" x14ac:dyDescent="0.35">
      <c r="I534" s="44"/>
    </row>
    <row r="535" spans="9:9" ht="12.75" x14ac:dyDescent="0.35">
      <c r="I535" s="44"/>
    </row>
    <row r="536" spans="9:9" ht="12.75" x14ac:dyDescent="0.35">
      <c r="I536" s="44"/>
    </row>
    <row r="537" spans="9:9" ht="12.75" x14ac:dyDescent="0.35">
      <c r="I537" s="44"/>
    </row>
    <row r="538" spans="9:9" ht="12.75" x14ac:dyDescent="0.35">
      <c r="I538" s="44"/>
    </row>
    <row r="539" spans="9:9" ht="12.75" x14ac:dyDescent="0.35">
      <c r="I539" s="44"/>
    </row>
    <row r="540" spans="9:9" ht="12.75" x14ac:dyDescent="0.35">
      <c r="I540" s="44"/>
    </row>
    <row r="541" spans="9:9" ht="12.75" x14ac:dyDescent="0.35">
      <c r="I541" s="44"/>
    </row>
    <row r="542" spans="9:9" ht="12.75" x14ac:dyDescent="0.35">
      <c r="I542" s="44"/>
    </row>
    <row r="543" spans="9:9" ht="12.75" x14ac:dyDescent="0.35">
      <c r="I543" s="44"/>
    </row>
    <row r="544" spans="9:9" ht="12.75" x14ac:dyDescent="0.35">
      <c r="I544" s="44"/>
    </row>
    <row r="545" spans="9:9" ht="12.75" x14ac:dyDescent="0.35">
      <c r="I545" s="44"/>
    </row>
    <row r="546" spans="9:9" ht="12.75" x14ac:dyDescent="0.35">
      <c r="I546" s="44"/>
    </row>
    <row r="547" spans="9:9" ht="12.75" x14ac:dyDescent="0.35">
      <c r="I547" s="44"/>
    </row>
    <row r="548" spans="9:9" ht="12.75" x14ac:dyDescent="0.35">
      <c r="I548" s="44"/>
    </row>
    <row r="549" spans="9:9" ht="12.75" x14ac:dyDescent="0.35">
      <c r="I549" s="44"/>
    </row>
    <row r="550" spans="9:9" ht="12.75" x14ac:dyDescent="0.35">
      <c r="I550" s="44"/>
    </row>
    <row r="551" spans="9:9" ht="12.75" x14ac:dyDescent="0.35">
      <c r="I551" s="44"/>
    </row>
    <row r="552" spans="9:9" ht="12.75" x14ac:dyDescent="0.35">
      <c r="I552" s="44"/>
    </row>
    <row r="553" spans="9:9" ht="12.75" x14ac:dyDescent="0.35">
      <c r="I553" s="44"/>
    </row>
    <row r="554" spans="9:9" ht="12.75" x14ac:dyDescent="0.35">
      <c r="I554" s="44"/>
    </row>
    <row r="555" spans="9:9" ht="12.75" x14ac:dyDescent="0.35">
      <c r="I555" s="44"/>
    </row>
    <row r="556" spans="9:9" ht="12.75" x14ac:dyDescent="0.35">
      <c r="I556" s="44"/>
    </row>
    <row r="557" spans="9:9" ht="12.75" x14ac:dyDescent="0.35">
      <c r="I557" s="44"/>
    </row>
    <row r="558" spans="9:9" ht="12.75" x14ac:dyDescent="0.35">
      <c r="I558" s="44"/>
    </row>
    <row r="559" spans="9:9" ht="12.75" x14ac:dyDescent="0.35">
      <c r="I559" s="44"/>
    </row>
    <row r="560" spans="9:9" ht="12.75" x14ac:dyDescent="0.35">
      <c r="I560" s="44"/>
    </row>
    <row r="561" spans="9:9" ht="12.75" x14ac:dyDescent="0.35">
      <c r="I561" s="44"/>
    </row>
    <row r="562" spans="9:9" ht="12.75" x14ac:dyDescent="0.35">
      <c r="I562" s="44"/>
    </row>
    <row r="563" spans="9:9" ht="12.75" x14ac:dyDescent="0.35">
      <c r="I563" s="44"/>
    </row>
    <row r="564" spans="9:9" ht="12.75" x14ac:dyDescent="0.35">
      <c r="I564" s="44"/>
    </row>
    <row r="565" spans="9:9" ht="12.75" x14ac:dyDescent="0.35">
      <c r="I565" s="44"/>
    </row>
    <row r="566" spans="9:9" ht="12.75" x14ac:dyDescent="0.35">
      <c r="I566" s="44"/>
    </row>
    <row r="567" spans="9:9" ht="12.75" x14ac:dyDescent="0.35">
      <c r="I567" s="44"/>
    </row>
    <row r="568" spans="9:9" ht="12.75" x14ac:dyDescent="0.35">
      <c r="I568" s="44"/>
    </row>
    <row r="569" spans="9:9" ht="12.75" x14ac:dyDescent="0.35">
      <c r="I569" s="44"/>
    </row>
    <row r="570" spans="9:9" ht="12.75" x14ac:dyDescent="0.35">
      <c r="I570" s="44"/>
    </row>
    <row r="571" spans="9:9" ht="12.75" x14ac:dyDescent="0.35">
      <c r="I571" s="44"/>
    </row>
    <row r="572" spans="9:9" ht="12.75" x14ac:dyDescent="0.35">
      <c r="I572" s="44"/>
    </row>
    <row r="573" spans="9:9" ht="12.75" x14ac:dyDescent="0.35">
      <c r="I573" s="44"/>
    </row>
    <row r="574" spans="9:9" ht="12.75" x14ac:dyDescent="0.35">
      <c r="I574" s="44"/>
    </row>
    <row r="575" spans="9:9" ht="12.75" x14ac:dyDescent="0.35">
      <c r="I575" s="44"/>
    </row>
    <row r="576" spans="9:9" ht="12.75" x14ac:dyDescent="0.35">
      <c r="I576" s="44"/>
    </row>
    <row r="577" spans="9:9" ht="12.75" x14ac:dyDescent="0.35">
      <c r="I577" s="44"/>
    </row>
    <row r="578" spans="9:9" ht="12.75" x14ac:dyDescent="0.35">
      <c r="I578" s="44"/>
    </row>
    <row r="579" spans="9:9" ht="12.75" x14ac:dyDescent="0.35">
      <c r="I579" s="44"/>
    </row>
    <row r="580" spans="9:9" ht="12.75" x14ac:dyDescent="0.35">
      <c r="I580" s="44"/>
    </row>
    <row r="581" spans="9:9" ht="12.75" x14ac:dyDescent="0.35">
      <c r="I581" s="44"/>
    </row>
    <row r="582" spans="9:9" ht="12.75" x14ac:dyDescent="0.35">
      <c r="I582" s="44"/>
    </row>
    <row r="583" spans="9:9" ht="12.75" x14ac:dyDescent="0.35">
      <c r="I583" s="44"/>
    </row>
    <row r="584" spans="9:9" ht="12.75" x14ac:dyDescent="0.35">
      <c r="I584" s="44"/>
    </row>
    <row r="585" spans="9:9" ht="12.75" x14ac:dyDescent="0.35">
      <c r="I585" s="44"/>
    </row>
    <row r="586" spans="9:9" ht="12.75" x14ac:dyDescent="0.35">
      <c r="I586" s="44"/>
    </row>
    <row r="587" spans="9:9" ht="12.75" x14ac:dyDescent="0.35">
      <c r="I587" s="44"/>
    </row>
    <row r="588" spans="9:9" ht="12.75" x14ac:dyDescent="0.35">
      <c r="I588" s="44"/>
    </row>
    <row r="589" spans="9:9" ht="12.75" x14ac:dyDescent="0.35">
      <c r="I589" s="44"/>
    </row>
    <row r="590" spans="9:9" ht="12.75" x14ac:dyDescent="0.35">
      <c r="I590" s="44"/>
    </row>
    <row r="591" spans="9:9" ht="12.75" x14ac:dyDescent="0.35">
      <c r="I591" s="44"/>
    </row>
    <row r="592" spans="9:9" ht="12.75" x14ac:dyDescent="0.35">
      <c r="I592" s="44"/>
    </row>
    <row r="593" spans="9:9" ht="12.75" x14ac:dyDescent="0.35">
      <c r="I593" s="44"/>
    </row>
    <row r="594" spans="9:9" ht="12.75" x14ac:dyDescent="0.35">
      <c r="I594" s="44"/>
    </row>
    <row r="595" spans="9:9" ht="12.75" x14ac:dyDescent="0.35">
      <c r="I595" s="44"/>
    </row>
    <row r="596" spans="9:9" ht="12.75" x14ac:dyDescent="0.35">
      <c r="I596" s="44"/>
    </row>
    <row r="597" spans="9:9" ht="12.75" x14ac:dyDescent="0.35">
      <c r="I597" s="44"/>
    </row>
    <row r="598" spans="9:9" ht="12.75" x14ac:dyDescent="0.35">
      <c r="I598" s="44"/>
    </row>
    <row r="599" spans="9:9" ht="12.75" x14ac:dyDescent="0.35">
      <c r="I599" s="44"/>
    </row>
    <row r="600" spans="9:9" ht="12.75" x14ac:dyDescent="0.35">
      <c r="I600" s="44"/>
    </row>
    <row r="601" spans="9:9" ht="12.75" x14ac:dyDescent="0.35">
      <c r="I601" s="44"/>
    </row>
    <row r="602" spans="9:9" ht="12.75" x14ac:dyDescent="0.35">
      <c r="I602" s="44"/>
    </row>
    <row r="603" spans="9:9" ht="12.75" x14ac:dyDescent="0.35">
      <c r="I603" s="44"/>
    </row>
    <row r="604" spans="9:9" ht="12.75" x14ac:dyDescent="0.35">
      <c r="I604" s="44"/>
    </row>
    <row r="605" spans="9:9" ht="12.75" x14ac:dyDescent="0.35">
      <c r="I605" s="44"/>
    </row>
    <row r="606" spans="9:9" ht="12.75" x14ac:dyDescent="0.35">
      <c r="I606" s="44"/>
    </row>
    <row r="607" spans="9:9" ht="12.75" x14ac:dyDescent="0.35">
      <c r="I607" s="44"/>
    </row>
    <row r="608" spans="9:9" ht="12.75" x14ac:dyDescent="0.35">
      <c r="I608" s="44"/>
    </row>
    <row r="609" spans="9:9" ht="12.75" x14ac:dyDescent="0.35">
      <c r="I609" s="44"/>
    </row>
    <row r="610" spans="9:9" ht="12.75" x14ac:dyDescent="0.35">
      <c r="I610" s="44"/>
    </row>
    <row r="611" spans="9:9" ht="12.75" x14ac:dyDescent="0.35">
      <c r="I611" s="44"/>
    </row>
    <row r="612" spans="9:9" ht="12.75" x14ac:dyDescent="0.35">
      <c r="I612" s="44"/>
    </row>
    <row r="613" spans="9:9" ht="12.75" x14ac:dyDescent="0.35">
      <c r="I613" s="44"/>
    </row>
    <row r="614" spans="9:9" ht="12.75" x14ac:dyDescent="0.35">
      <c r="I614" s="44"/>
    </row>
    <row r="615" spans="9:9" ht="12.75" x14ac:dyDescent="0.35">
      <c r="I615" s="44"/>
    </row>
    <row r="616" spans="9:9" ht="12.75" x14ac:dyDescent="0.35">
      <c r="I616" s="44"/>
    </row>
    <row r="617" spans="9:9" ht="12.75" x14ac:dyDescent="0.35">
      <c r="I617" s="44"/>
    </row>
    <row r="618" spans="9:9" ht="12.75" x14ac:dyDescent="0.35">
      <c r="I618" s="44"/>
    </row>
    <row r="619" spans="9:9" ht="12.75" x14ac:dyDescent="0.35">
      <c r="I619" s="44"/>
    </row>
    <row r="620" spans="9:9" ht="12.75" x14ac:dyDescent="0.35">
      <c r="I620" s="44"/>
    </row>
    <row r="621" spans="9:9" ht="12.75" x14ac:dyDescent="0.35">
      <c r="I621" s="44"/>
    </row>
    <row r="622" spans="9:9" ht="12.75" x14ac:dyDescent="0.35">
      <c r="I622" s="44"/>
    </row>
    <row r="623" spans="9:9" ht="12.75" x14ac:dyDescent="0.35">
      <c r="I623" s="44"/>
    </row>
    <row r="624" spans="9:9" ht="12.75" x14ac:dyDescent="0.35">
      <c r="I624" s="44"/>
    </row>
    <row r="625" spans="9:9" ht="12.75" x14ac:dyDescent="0.35">
      <c r="I625" s="44"/>
    </row>
    <row r="626" spans="9:9" ht="12.75" x14ac:dyDescent="0.35">
      <c r="I626" s="44"/>
    </row>
    <row r="627" spans="9:9" ht="12.75" x14ac:dyDescent="0.35">
      <c r="I627" s="44"/>
    </row>
    <row r="628" spans="9:9" ht="12.75" x14ac:dyDescent="0.35">
      <c r="I628" s="44"/>
    </row>
    <row r="629" spans="9:9" ht="12.75" x14ac:dyDescent="0.35">
      <c r="I629" s="44"/>
    </row>
    <row r="630" spans="9:9" ht="12.75" x14ac:dyDescent="0.35">
      <c r="I630" s="44"/>
    </row>
    <row r="631" spans="9:9" ht="12.75" x14ac:dyDescent="0.35">
      <c r="I631" s="44"/>
    </row>
    <row r="632" spans="9:9" ht="12.75" x14ac:dyDescent="0.35">
      <c r="I632" s="44"/>
    </row>
    <row r="633" spans="9:9" ht="12.75" x14ac:dyDescent="0.35">
      <c r="I633" s="44"/>
    </row>
    <row r="634" spans="9:9" ht="12.75" x14ac:dyDescent="0.35">
      <c r="I634" s="44"/>
    </row>
    <row r="635" spans="9:9" ht="12.75" x14ac:dyDescent="0.35">
      <c r="I635" s="44"/>
    </row>
    <row r="636" spans="9:9" ht="12.75" x14ac:dyDescent="0.35">
      <c r="I636" s="44"/>
    </row>
    <row r="637" spans="9:9" ht="12.75" x14ac:dyDescent="0.35">
      <c r="I637" s="44"/>
    </row>
    <row r="638" spans="9:9" ht="12.75" x14ac:dyDescent="0.35">
      <c r="I638" s="44"/>
    </row>
    <row r="639" spans="9:9" ht="12.75" x14ac:dyDescent="0.35">
      <c r="I639" s="44"/>
    </row>
    <row r="640" spans="9:9" ht="12.75" x14ac:dyDescent="0.35">
      <c r="I640" s="44"/>
    </row>
    <row r="641" spans="9:9" ht="12.75" x14ac:dyDescent="0.35">
      <c r="I641" s="44"/>
    </row>
    <row r="642" spans="9:9" ht="12.75" x14ac:dyDescent="0.35">
      <c r="I642" s="44"/>
    </row>
    <row r="643" spans="9:9" ht="12.75" x14ac:dyDescent="0.35">
      <c r="I643" s="44"/>
    </row>
    <row r="644" spans="9:9" ht="12.75" x14ac:dyDescent="0.35">
      <c r="I644" s="44"/>
    </row>
    <row r="645" spans="9:9" ht="12.75" x14ac:dyDescent="0.35">
      <c r="I645" s="44"/>
    </row>
    <row r="646" spans="9:9" ht="12.75" x14ac:dyDescent="0.35">
      <c r="I646" s="44"/>
    </row>
    <row r="647" spans="9:9" ht="12.75" x14ac:dyDescent="0.35">
      <c r="I647" s="44"/>
    </row>
    <row r="648" spans="9:9" ht="12.75" x14ac:dyDescent="0.35">
      <c r="I648" s="44"/>
    </row>
    <row r="649" spans="9:9" ht="12.75" x14ac:dyDescent="0.35">
      <c r="I649" s="44"/>
    </row>
    <row r="650" spans="9:9" ht="12.75" x14ac:dyDescent="0.35">
      <c r="I650" s="44"/>
    </row>
    <row r="651" spans="9:9" ht="12.75" x14ac:dyDescent="0.35">
      <c r="I651" s="44"/>
    </row>
    <row r="652" spans="9:9" ht="12.75" x14ac:dyDescent="0.35">
      <c r="I652" s="44"/>
    </row>
    <row r="653" spans="9:9" ht="12.75" x14ac:dyDescent="0.35">
      <c r="I653" s="44"/>
    </row>
    <row r="654" spans="9:9" ht="12.75" x14ac:dyDescent="0.35">
      <c r="I654" s="44"/>
    </row>
    <row r="655" spans="9:9" ht="12.75" x14ac:dyDescent="0.35">
      <c r="I655" s="44"/>
    </row>
    <row r="656" spans="9:9" ht="12.75" x14ac:dyDescent="0.35">
      <c r="I656" s="44"/>
    </row>
    <row r="657" spans="9:9" ht="12.75" x14ac:dyDescent="0.35">
      <c r="I657" s="44"/>
    </row>
    <row r="658" spans="9:9" ht="12.75" x14ac:dyDescent="0.35">
      <c r="I658" s="44"/>
    </row>
    <row r="659" spans="9:9" ht="12.75" x14ac:dyDescent="0.35">
      <c r="I659" s="44"/>
    </row>
    <row r="660" spans="9:9" ht="12.75" x14ac:dyDescent="0.35">
      <c r="I660" s="44"/>
    </row>
    <row r="661" spans="9:9" ht="12.75" x14ac:dyDescent="0.35">
      <c r="I661" s="44"/>
    </row>
    <row r="662" spans="9:9" ht="12.75" x14ac:dyDescent="0.35">
      <c r="I662" s="44"/>
    </row>
    <row r="663" spans="9:9" ht="12.75" x14ac:dyDescent="0.35">
      <c r="I663" s="44"/>
    </row>
    <row r="664" spans="9:9" ht="12.75" x14ac:dyDescent="0.35">
      <c r="I664" s="44"/>
    </row>
    <row r="665" spans="9:9" ht="12.75" x14ac:dyDescent="0.35">
      <c r="I665" s="44"/>
    </row>
    <row r="666" spans="9:9" ht="12.75" x14ac:dyDescent="0.35">
      <c r="I666" s="44"/>
    </row>
    <row r="667" spans="9:9" ht="12.75" x14ac:dyDescent="0.35">
      <c r="I667" s="44"/>
    </row>
    <row r="668" spans="9:9" ht="12.75" x14ac:dyDescent="0.35">
      <c r="I668" s="44"/>
    </row>
    <row r="669" spans="9:9" ht="12.75" x14ac:dyDescent="0.35">
      <c r="I669" s="44"/>
    </row>
    <row r="670" spans="9:9" ht="12.75" x14ac:dyDescent="0.35">
      <c r="I670" s="44"/>
    </row>
    <row r="671" spans="9:9" ht="12.75" x14ac:dyDescent="0.35">
      <c r="I671" s="44"/>
    </row>
    <row r="672" spans="9:9" ht="12.75" x14ac:dyDescent="0.35">
      <c r="I672" s="44"/>
    </row>
    <row r="673" spans="9:9" ht="12.75" x14ac:dyDescent="0.35">
      <c r="I673" s="44"/>
    </row>
    <row r="674" spans="9:9" ht="12.75" x14ac:dyDescent="0.35">
      <c r="I674" s="44"/>
    </row>
    <row r="675" spans="9:9" ht="12.75" x14ac:dyDescent="0.35">
      <c r="I675" s="44"/>
    </row>
    <row r="676" spans="9:9" ht="12.75" x14ac:dyDescent="0.35">
      <c r="I676" s="44"/>
    </row>
    <row r="677" spans="9:9" ht="12.75" x14ac:dyDescent="0.35">
      <c r="I677" s="44"/>
    </row>
    <row r="678" spans="9:9" ht="12.75" x14ac:dyDescent="0.35">
      <c r="I678" s="44"/>
    </row>
    <row r="679" spans="9:9" ht="12.75" x14ac:dyDescent="0.35">
      <c r="I679" s="44"/>
    </row>
    <row r="680" spans="9:9" ht="12.75" x14ac:dyDescent="0.35">
      <c r="I680" s="44"/>
    </row>
    <row r="681" spans="9:9" ht="12.75" x14ac:dyDescent="0.35">
      <c r="I681" s="44"/>
    </row>
    <row r="682" spans="9:9" ht="12.75" x14ac:dyDescent="0.35">
      <c r="I682" s="44"/>
    </row>
    <row r="683" spans="9:9" ht="12.75" x14ac:dyDescent="0.35">
      <c r="I683" s="44"/>
    </row>
    <row r="684" spans="9:9" ht="12.75" x14ac:dyDescent="0.35">
      <c r="I684" s="44"/>
    </row>
    <row r="685" spans="9:9" ht="12.75" x14ac:dyDescent="0.35">
      <c r="I685" s="44"/>
    </row>
    <row r="686" spans="9:9" ht="12.75" x14ac:dyDescent="0.35">
      <c r="I686" s="44"/>
    </row>
    <row r="687" spans="9:9" ht="12.75" x14ac:dyDescent="0.35">
      <c r="I687" s="44"/>
    </row>
    <row r="688" spans="9:9" ht="12.75" x14ac:dyDescent="0.35">
      <c r="I688" s="44"/>
    </row>
    <row r="689" spans="9:9" ht="12.75" x14ac:dyDescent="0.35">
      <c r="I689" s="44"/>
    </row>
    <row r="690" spans="9:9" ht="12.75" x14ac:dyDescent="0.35">
      <c r="I690" s="44"/>
    </row>
    <row r="691" spans="9:9" ht="12.75" x14ac:dyDescent="0.35">
      <c r="I691" s="44"/>
    </row>
    <row r="692" spans="9:9" ht="12.75" x14ac:dyDescent="0.35">
      <c r="I692" s="44"/>
    </row>
    <row r="693" spans="9:9" ht="12.75" x14ac:dyDescent="0.35">
      <c r="I693" s="44"/>
    </row>
    <row r="694" spans="9:9" ht="12.75" x14ac:dyDescent="0.35">
      <c r="I694" s="44"/>
    </row>
    <row r="695" spans="9:9" ht="12.75" x14ac:dyDescent="0.35">
      <c r="I695" s="44"/>
    </row>
    <row r="696" spans="9:9" ht="12.75" x14ac:dyDescent="0.35">
      <c r="I696" s="44"/>
    </row>
    <row r="697" spans="9:9" ht="12.75" x14ac:dyDescent="0.35">
      <c r="I697" s="44"/>
    </row>
    <row r="698" spans="9:9" ht="12.75" x14ac:dyDescent="0.35">
      <c r="I698" s="44"/>
    </row>
    <row r="699" spans="9:9" ht="12.75" x14ac:dyDescent="0.35">
      <c r="I699" s="44"/>
    </row>
    <row r="700" spans="9:9" ht="12.75" x14ac:dyDescent="0.35">
      <c r="I700" s="44"/>
    </row>
    <row r="701" spans="9:9" ht="12.75" x14ac:dyDescent="0.35">
      <c r="I701" s="44"/>
    </row>
    <row r="702" spans="9:9" ht="12.75" x14ac:dyDescent="0.35">
      <c r="I702" s="44"/>
    </row>
    <row r="703" spans="9:9" ht="12.75" x14ac:dyDescent="0.35">
      <c r="I703" s="44"/>
    </row>
    <row r="704" spans="9:9" ht="12.75" x14ac:dyDescent="0.35">
      <c r="I704" s="44"/>
    </row>
    <row r="705" spans="9:9" ht="12.75" x14ac:dyDescent="0.35">
      <c r="I705" s="44"/>
    </row>
    <row r="706" spans="9:9" ht="12.75" x14ac:dyDescent="0.35">
      <c r="I706" s="44"/>
    </row>
    <row r="707" spans="9:9" ht="12.75" x14ac:dyDescent="0.35">
      <c r="I707" s="44"/>
    </row>
    <row r="708" spans="9:9" ht="12.75" x14ac:dyDescent="0.35">
      <c r="I708" s="44"/>
    </row>
    <row r="709" spans="9:9" ht="12.75" x14ac:dyDescent="0.35">
      <c r="I709" s="44"/>
    </row>
    <row r="710" spans="9:9" ht="12.75" x14ac:dyDescent="0.35">
      <c r="I710" s="44"/>
    </row>
    <row r="711" spans="9:9" ht="12.75" x14ac:dyDescent="0.35">
      <c r="I711" s="44"/>
    </row>
    <row r="712" spans="9:9" ht="12.75" x14ac:dyDescent="0.35">
      <c r="I712" s="44"/>
    </row>
    <row r="713" spans="9:9" ht="12.75" x14ac:dyDescent="0.35">
      <c r="I713" s="44"/>
    </row>
    <row r="714" spans="9:9" ht="12.75" x14ac:dyDescent="0.35">
      <c r="I714" s="44"/>
    </row>
    <row r="715" spans="9:9" ht="12.75" x14ac:dyDescent="0.35">
      <c r="I715" s="44"/>
    </row>
    <row r="716" spans="9:9" ht="12.75" x14ac:dyDescent="0.35">
      <c r="I716" s="44"/>
    </row>
    <row r="717" spans="9:9" ht="12.75" x14ac:dyDescent="0.35">
      <c r="I717" s="44"/>
    </row>
    <row r="718" spans="9:9" ht="12.75" x14ac:dyDescent="0.35">
      <c r="I718" s="44"/>
    </row>
    <row r="719" spans="9:9" ht="12.75" x14ac:dyDescent="0.35">
      <c r="I719" s="44"/>
    </row>
    <row r="720" spans="9:9" ht="12.75" x14ac:dyDescent="0.35">
      <c r="I720" s="44"/>
    </row>
    <row r="721" spans="9:9" ht="12.75" x14ac:dyDescent="0.35">
      <c r="I721" s="44"/>
    </row>
    <row r="722" spans="9:9" ht="12.75" x14ac:dyDescent="0.35">
      <c r="I722" s="44"/>
    </row>
    <row r="723" spans="9:9" ht="12.75" x14ac:dyDescent="0.35">
      <c r="I723" s="44"/>
    </row>
    <row r="724" spans="9:9" ht="12.75" x14ac:dyDescent="0.35">
      <c r="I724" s="44"/>
    </row>
    <row r="725" spans="9:9" ht="12.75" x14ac:dyDescent="0.35">
      <c r="I725" s="44"/>
    </row>
    <row r="726" spans="9:9" ht="12.75" x14ac:dyDescent="0.35">
      <c r="I726" s="44"/>
    </row>
    <row r="727" spans="9:9" ht="12.75" x14ac:dyDescent="0.35">
      <c r="I727" s="44"/>
    </row>
    <row r="728" spans="9:9" ht="12.75" x14ac:dyDescent="0.35">
      <c r="I728" s="44"/>
    </row>
    <row r="729" spans="9:9" ht="12.75" x14ac:dyDescent="0.35">
      <c r="I729" s="44"/>
    </row>
    <row r="730" spans="9:9" ht="12.75" x14ac:dyDescent="0.35">
      <c r="I730" s="44"/>
    </row>
    <row r="731" spans="9:9" ht="12.75" x14ac:dyDescent="0.35">
      <c r="I731" s="44"/>
    </row>
    <row r="732" spans="9:9" ht="12.75" x14ac:dyDescent="0.35">
      <c r="I732" s="44"/>
    </row>
    <row r="733" spans="9:9" ht="12.75" x14ac:dyDescent="0.35">
      <c r="I733" s="44"/>
    </row>
    <row r="734" spans="9:9" ht="12.75" x14ac:dyDescent="0.35">
      <c r="I734" s="44"/>
    </row>
    <row r="735" spans="9:9" ht="12.75" x14ac:dyDescent="0.35">
      <c r="I735" s="44"/>
    </row>
    <row r="736" spans="9:9" ht="12.75" x14ac:dyDescent="0.35">
      <c r="I736" s="44"/>
    </row>
    <row r="737" spans="9:9" ht="12.75" x14ac:dyDescent="0.35">
      <c r="I737" s="44"/>
    </row>
    <row r="738" spans="9:9" ht="12.75" x14ac:dyDescent="0.35">
      <c r="I738" s="44"/>
    </row>
    <row r="739" spans="9:9" ht="12.75" x14ac:dyDescent="0.35">
      <c r="I739" s="44"/>
    </row>
    <row r="740" spans="9:9" ht="12.75" x14ac:dyDescent="0.35">
      <c r="I740" s="44"/>
    </row>
    <row r="741" spans="9:9" ht="12.75" x14ac:dyDescent="0.35">
      <c r="I741" s="44"/>
    </row>
    <row r="742" spans="9:9" ht="12.75" x14ac:dyDescent="0.35">
      <c r="I742" s="44"/>
    </row>
    <row r="743" spans="9:9" ht="12.75" x14ac:dyDescent="0.35">
      <c r="I743" s="44"/>
    </row>
    <row r="744" spans="9:9" ht="12.75" x14ac:dyDescent="0.35">
      <c r="I744" s="44"/>
    </row>
    <row r="745" spans="9:9" ht="12.75" x14ac:dyDescent="0.35">
      <c r="I745" s="44"/>
    </row>
    <row r="746" spans="9:9" ht="12.75" x14ac:dyDescent="0.35">
      <c r="I746" s="44"/>
    </row>
    <row r="747" spans="9:9" ht="12.75" x14ac:dyDescent="0.35">
      <c r="I747" s="44"/>
    </row>
    <row r="748" spans="9:9" ht="12.75" x14ac:dyDescent="0.35">
      <c r="I748" s="44"/>
    </row>
    <row r="749" spans="9:9" ht="12.75" x14ac:dyDescent="0.35">
      <c r="I749" s="44"/>
    </row>
    <row r="750" spans="9:9" ht="12.75" x14ac:dyDescent="0.35">
      <c r="I750" s="44"/>
    </row>
    <row r="751" spans="9:9" ht="12.75" x14ac:dyDescent="0.35">
      <c r="I751" s="44"/>
    </row>
    <row r="752" spans="9:9" ht="12.75" x14ac:dyDescent="0.35">
      <c r="I752" s="44"/>
    </row>
    <row r="753" spans="9:9" ht="12.75" x14ac:dyDescent="0.35">
      <c r="I753" s="44"/>
    </row>
    <row r="754" spans="9:9" ht="12.75" x14ac:dyDescent="0.35">
      <c r="I754" s="44"/>
    </row>
    <row r="755" spans="9:9" ht="12.75" x14ac:dyDescent="0.35">
      <c r="I755" s="44"/>
    </row>
    <row r="756" spans="9:9" ht="12.75" x14ac:dyDescent="0.35">
      <c r="I756" s="44"/>
    </row>
    <row r="757" spans="9:9" ht="12.75" x14ac:dyDescent="0.35">
      <c r="I757" s="44"/>
    </row>
    <row r="758" spans="9:9" ht="12.75" x14ac:dyDescent="0.35">
      <c r="I758" s="44"/>
    </row>
    <row r="759" spans="9:9" ht="12.75" x14ac:dyDescent="0.35">
      <c r="I759" s="44"/>
    </row>
    <row r="760" spans="9:9" ht="12.75" x14ac:dyDescent="0.35">
      <c r="I760" s="44"/>
    </row>
    <row r="761" spans="9:9" ht="12.75" x14ac:dyDescent="0.35">
      <c r="I761" s="44"/>
    </row>
    <row r="762" spans="9:9" ht="12.75" x14ac:dyDescent="0.35">
      <c r="I762" s="44"/>
    </row>
    <row r="763" spans="9:9" ht="12.75" x14ac:dyDescent="0.35">
      <c r="I763" s="44"/>
    </row>
    <row r="764" spans="9:9" ht="12.75" x14ac:dyDescent="0.35">
      <c r="I764" s="44"/>
    </row>
    <row r="765" spans="9:9" ht="12.75" x14ac:dyDescent="0.35">
      <c r="I765" s="44"/>
    </row>
    <row r="766" spans="9:9" ht="12.75" x14ac:dyDescent="0.35">
      <c r="I766" s="44"/>
    </row>
    <row r="767" spans="9:9" ht="12.75" x14ac:dyDescent="0.35">
      <c r="I767" s="44"/>
    </row>
    <row r="768" spans="9:9" ht="12.75" x14ac:dyDescent="0.35">
      <c r="I768" s="44"/>
    </row>
    <row r="769" spans="9:9" ht="12.75" x14ac:dyDescent="0.35">
      <c r="I769" s="44"/>
    </row>
    <row r="770" spans="9:9" ht="12.75" x14ac:dyDescent="0.35">
      <c r="I770" s="44"/>
    </row>
    <row r="771" spans="9:9" ht="12.75" x14ac:dyDescent="0.35">
      <c r="I771" s="44"/>
    </row>
    <row r="772" spans="9:9" ht="12.75" x14ac:dyDescent="0.35">
      <c r="I772" s="44"/>
    </row>
    <row r="773" spans="9:9" ht="12.75" x14ac:dyDescent="0.35">
      <c r="I773" s="44"/>
    </row>
    <row r="774" spans="9:9" ht="12.75" x14ac:dyDescent="0.35">
      <c r="I774" s="44"/>
    </row>
    <row r="775" spans="9:9" ht="12.75" x14ac:dyDescent="0.35">
      <c r="I775" s="44"/>
    </row>
    <row r="776" spans="9:9" ht="12.75" x14ac:dyDescent="0.35">
      <c r="I776" s="44"/>
    </row>
    <row r="777" spans="9:9" ht="12.75" x14ac:dyDescent="0.35">
      <c r="I777" s="44"/>
    </row>
    <row r="778" spans="9:9" ht="12.75" x14ac:dyDescent="0.35">
      <c r="I778" s="44"/>
    </row>
    <row r="779" spans="9:9" ht="12.75" x14ac:dyDescent="0.35">
      <c r="I779" s="44"/>
    </row>
    <row r="780" spans="9:9" ht="12.75" x14ac:dyDescent="0.35">
      <c r="I780" s="44"/>
    </row>
    <row r="781" spans="9:9" ht="12.75" x14ac:dyDescent="0.35">
      <c r="I781" s="44"/>
    </row>
    <row r="782" spans="9:9" ht="12.75" x14ac:dyDescent="0.35">
      <c r="I782" s="44"/>
    </row>
    <row r="783" spans="9:9" ht="12.75" x14ac:dyDescent="0.35">
      <c r="I783" s="44"/>
    </row>
    <row r="784" spans="9:9" ht="12.75" x14ac:dyDescent="0.35">
      <c r="I784" s="44"/>
    </row>
    <row r="785" spans="9:9" ht="12.75" x14ac:dyDescent="0.35">
      <c r="I785" s="44"/>
    </row>
    <row r="786" spans="9:9" ht="12.75" x14ac:dyDescent="0.35">
      <c r="I786" s="44"/>
    </row>
    <row r="787" spans="9:9" ht="12.75" x14ac:dyDescent="0.35">
      <c r="I787" s="44"/>
    </row>
    <row r="788" spans="9:9" ht="12.75" x14ac:dyDescent="0.35">
      <c r="I788" s="44"/>
    </row>
    <row r="789" spans="9:9" ht="12.75" x14ac:dyDescent="0.35">
      <c r="I789" s="44"/>
    </row>
    <row r="790" spans="9:9" ht="12.75" x14ac:dyDescent="0.35">
      <c r="I790" s="44"/>
    </row>
    <row r="791" spans="9:9" ht="12.75" x14ac:dyDescent="0.35">
      <c r="I791" s="44"/>
    </row>
    <row r="792" spans="9:9" ht="12.75" x14ac:dyDescent="0.35">
      <c r="I792" s="44"/>
    </row>
    <row r="793" spans="9:9" ht="12.75" x14ac:dyDescent="0.35">
      <c r="I793" s="44"/>
    </row>
    <row r="794" spans="9:9" ht="12.75" x14ac:dyDescent="0.35">
      <c r="I794" s="44"/>
    </row>
    <row r="795" spans="9:9" ht="12.75" x14ac:dyDescent="0.35">
      <c r="I795" s="44"/>
    </row>
    <row r="796" spans="9:9" ht="12.75" x14ac:dyDescent="0.35">
      <c r="I796" s="44"/>
    </row>
    <row r="797" spans="9:9" ht="12.75" x14ac:dyDescent="0.35">
      <c r="I797" s="44"/>
    </row>
    <row r="798" spans="9:9" ht="12.75" x14ac:dyDescent="0.35">
      <c r="I798" s="44"/>
    </row>
    <row r="799" spans="9:9" ht="12.75" x14ac:dyDescent="0.35">
      <c r="I799" s="44"/>
    </row>
    <row r="800" spans="9:9" ht="12.75" x14ac:dyDescent="0.35">
      <c r="I800" s="44"/>
    </row>
    <row r="801" spans="9:9" ht="12.75" x14ac:dyDescent="0.35">
      <c r="I801" s="44"/>
    </row>
    <row r="802" spans="9:9" ht="12.75" x14ac:dyDescent="0.35">
      <c r="I802" s="44"/>
    </row>
    <row r="803" spans="9:9" ht="12.75" x14ac:dyDescent="0.35">
      <c r="I803" s="44"/>
    </row>
    <row r="804" spans="9:9" ht="12.75" x14ac:dyDescent="0.35">
      <c r="I804" s="44"/>
    </row>
    <row r="805" spans="9:9" ht="12.75" x14ac:dyDescent="0.35">
      <c r="I805" s="44"/>
    </row>
    <row r="806" spans="9:9" ht="12.75" x14ac:dyDescent="0.35">
      <c r="I806" s="44"/>
    </row>
    <row r="807" spans="9:9" ht="12.75" x14ac:dyDescent="0.35">
      <c r="I807" s="44"/>
    </row>
    <row r="808" spans="9:9" ht="12.75" x14ac:dyDescent="0.35">
      <c r="I808" s="44"/>
    </row>
    <row r="809" spans="9:9" ht="12.75" x14ac:dyDescent="0.35">
      <c r="I809" s="44"/>
    </row>
    <row r="810" spans="9:9" ht="12.75" x14ac:dyDescent="0.35">
      <c r="I810" s="44"/>
    </row>
    <row r="811" spans="9:9" ht="12.75" x14ac:dyDescent="0.35">
      <c r="I811" s="44"/>
    </row>
    <row r="812" spans="9:9" ht="12.75" x14ac:dyDescent="0.35">
      <c r="I812" s="44"/>
    </row>
    <row r="813" spans="9:9" ht="12.75" x14ac:dyDescent="0.35">
      <c r="I813" s="44"/>
    </row>
    <row r="814" spans="9:9" ht="12.75" x14ac:dyDescent="0.35">
      <c r="I814" s="44"/>
    </row>
    <row r="815" spans="9:9" ht="12.75" x14ac:dyDescent="0.35">
      <c r="I815" s="44"/>
    </row>
    <row r="816" spans="9:9" ht="12.75" x14ac:dyDescent="0.35">
      <c r="I816" s="44"/>
    </row>
    <row r="817" spans="9:9" ht="12.75" x14ac:dyDescent="0.35">
      <c r="I817" s="44"/>
    </row>
    <row r="818" spans="9:9" ht="12.75" x14ac:dyDescent="0.35">
      <c r="I818" s="44"/>
    </row>
    <row r="819" spans="9:9" ht="12.75" x14ac:dyDescent="0.35">
      <c r="I819" s="44"/>
    </row>
    <row r="820" spans="9:9" ht="12.75" x14ac:dyDescent="0.35">
      <c r="I820" s="44"/>
    </row>
    <row r="821" spans="9:9" ht="12.75" x14ac:dyDescent="0.35">
      <c r="I821" s="44"/>
    </row>
    <row r="822" spans="9:9" ht="12.75" x14ac:dyDescent="0.35">
      <c r="I822" s="44"/>
    </row>
    <row r="823" spans="9:9" ht="12.75" x14ac:dyDescent="0.35">
      <c r="I823" s="44"/>
    </row>
    <row r="824" spans="9:9" ht="12.75" x14ac:dyDescent="0.35">
      <c r="I824" s="44"/>
    </row>
    <row r="825" spans="9:9" ht="12.75" x14ac:dyDescent="0.35">
      <c r="I825" s="44"/>
    </row>
    <row r="826" spans="9:9" ht="12.75" x14ac:dyDescent="0.35">
      <c r="I826" s="44"/>
    </row>
    <row r="827" spans="9:9" ht="12.75" x14ac:dyDescent="0.35">
      <c r="I827" s="44"/>
    </row>
    <row r="828" spans="9:9" ht="12.75" x14ac:dyDescent="0.35">
      <c r="I828" s="44"/>
    </row>
    <row r="829" spans="9:9" ht="12.75" x14ac:dyDescent="0.35">
      <c r="I829" s="44"/>
    </row>
    <row r="830" spans="9:9" ht="12.75" x14ac:dyDescent="0.35">
      <c r="I830" s="44"/>
    </row>
    <row r="831" spans="9:9" ht="12.75" x14ac:dyDescent="0.35">
      <c r="I831" s="44"/>
    </row>
    <row r="832" spans="9:9" ht="12.75" x14ac:dyDescent="0.35">
      <c r="I832" s="44"/>
    </row>
    <row r="833" spans="9:9" ht="12.75" x14ac:dyDescent="0.35">
      <c r="I833" s="44"/>
    </row>
    <row r="834" spans="9:9" ht="12.75" x14ac:dyDescent="0.35">
      <c r="I834" s="44"/>
    </row>
    <row r="835" spans="9:9" ht="12.75" x14ac:dyDescent="0.35">
      <c r="I835" s="44"/>
    </row>
    <row r="836" spans="9:9" ht="12.75" x14ac:dyDescent="0.35">
      <c r="I836" s="44"/>
    </row>
    <row r="837" spans="9:9" ht="12.75" x14ac:dyDescent="0.35">
      <c r="I837" s="44"/>
    </row>
    <row r="838" spans="9:9" ht="12.75" x14ac:dyDescent="0.35">
      <c r="I838" s="44"/>
    </row>
    <row r="839" spans="9:9" ht="12.75" x14ac:dyDescent="0.35">
      <c r="I839" s="44"/>
    </row>
    <row r="840" spans="9:9" ht="12.75" x14ac:dyDescent="0.35">
      <c r="I840" s="44"/>
    </row>
    <row r="841" spans="9:9" ht="12.75" x14ac:dyDescent="0.35">
      <c r="I841" s="44"/>
    </row>
    <row r="842" spans="9:9" ht="12.75" x14ac:dyDescent="0.35">
      <c r="I842" s="44"/>
    </row>
    <row r="843" spans="9:9" ht="12.75" x14ac:dyDescent="0.35">
      <c r="I843" s="44"/>
    </row>
    <row r="844" spans="9:9" ht="12.75" x14ac:dyDescent="0.35">
      <c r="I844" s="44"/>
    </row>
    <row r="845" spans="9:9" ht="12.75" x14ac:dyDescent="0.35">
      <c r="I845" s="44"/>
    </row>
    <row r="846" spans="9:9" ht="12.75" x14ac:dyDescent="0.35">
      <c r="I846" s="44"/>
    </row>
    <row r="847" spans="9:9" ht="12.75" x14ac:dyDescent="0.35">
      <c r="I847" s="44"/>
    </row>
    <row r="848" spans="9:9" ht="12.75" x14ac:dyDescent="0.35">
      <c r="I848" s="44"/>
    </row>
    <row r="849" spans="9:9" ht="12.75" x14ac:dyDescent="0.35">
      <c r="I849" s="44"/>
    </row>
    <row r="850" spans="9:9" ht="12.75" x14ac:dyDescent="0.35">
      <c r="I850" s="44"/>
    </row>
    <row r="851" spans="9:9" ht="12.75" x14ac:dyDescent="0.35">
      <c r="I851" s="44"/>
    </row>
    <row r="852" spans="9:9" ht="12.75" x14ac:dyDescent="0.35">
      <c r="I852" s="44"/>
    </row>
    <row r="853" spans="9:9" ht="12.75" x14ac:dyDescent="0.35">
      <c r="I853" s="44"/>
    </row>
    <row r="854" spans="9:9" ht="12.75" x14ac:dyDescent="0.35">
      <c r="I854" s="44"/>
    </row>
    <row r="855" spans="9:9" ht="12.75" x14ac:dyDescent="0.35">
      <c r="I855" s="44"/>
    </row>
    <row r="856" spans="9:9" ht="12.75" x14ac:dyDescent="0.35">
      <c r="I856" s="44"/>
    </row>
    <row r="857" spans="9:9" ht="12.75" x14ac:dyDescent="0.35">
      <c r="I857" s="44"/>
    </row>
    <row r="858" spans="9:9" ht="12.75" x14ac:dyDescent="0.35">
      <c r="I858" s="44"/>
    </row>
    <row r="859" spans="9:9" ht="12.75" x14ac:dyDescent="0.35">
      <c r="I859" s="44"/>
    </row>
    <row r="860" spans="9:9" ht="12.75" x14ac:dyDescent="0.35">
      <c r="I860" s="44"/>
    </row>
    <row r="861" spans="9:9" ht="12.75" x14ac:dyDescent="0.35">
      <c r="I861" s="44"/>
    </row>
    <row r="862" spans="9:9" ht="12.75" x14ac:dyDescent="0.35">
      <c r="I862" s="44"/>
    </row>
    <row r="863" spans="9:9" ht="12.75" x14ac:dyDescent="0.35">
      <c r="I863" s="44"/>
    </row>
    <row r="864" spans="9:9" ht="12.75" x14ac:dyDescent="0.35">
      <c r="I864" s="44"/>
    </row>
    <row r="865" spans="9:9" ht="12.75" x14ac:dyDescent="0.35">
      <c r="I865" s="44"/>
    </row>
    <row r="866" spans="9:9" ht="12.75" x14ac:dyDescent="0.35">
      <c r="I866" s="44"/>
    </row>
    <row r="867" spans="9:9" ht="12.75" x14ac:dyDescent="0.35">
      <c r="I867" s="44"/>
    </row>
    <row r="868" spans="9:9" ht="12.75" x14ac:dyDescent="0.35">
      <c r="I868" s="44"/>
    </row>
    <row r="869" spans="9:9" ht="12.75" x14ac:dyDescent="0.35">
      <c r="I869" s="44"/>
    </row>
    <row r="870" spans="9:9" ht="12.75" x14ac:dyDescent="0.35">
      <c r="I870" s="44"/>
    </row>
    <row r="871" spans="9:9" ht="12.75" x14ac:dyDescent="0.35">
      <c r="I871" s="44"/>
    </row>
    <row r="872" spans="9:9" ht="12.75" x14ac:dyDescent="0.35">
      <c r="I872" s="44"/>
    </row>
    <row r="873" spans="9:9" ht="12.75" x14ac:dyDescent="0.35">
      <c r="I873" s="44"/>
    </row>
    <row r="874" spans="9:9" ht="12.75" x14ac:dyDescent="0.35">
      <c r="I874" s="44"/>
    </row>
    <row r="875" spans="9:9" ht="12.75" x14ac:dyDescent="0.35">
      <c r="I875" s="44"/>
    </row>
    <row r="876" spans="9:9" ht="12.75" x14ac:dyDescent="0.35">
      <c r="I876" s="44"/>
    </row>
    <row r="877" spans="9:9" ht="12.75" x14ac:dyDescent="0.35">
      <c r="I877" s="44"/>
    </row>
    <row r="878" spans="9:9" ht="12.75" x14ac:dyDescent="0.35">
      <c r="I878" s="44"/>
    </row>
    <row r="879" spans="9:9" ht="12.75" x14ac:dyDescent="0.35">
      <c r="I879" s="44"/>
    </row>
    <row r="880" spans="9:9" ht="12.75" x14ac:dyDescent="0.35">
      <c r="I880" s="44"/>
    </row>
    <row r="881" spans="9:9" ht="12.75" x14ac:dyDescent="0.35">
      <c r="I881" s="44"/>
    </row>
    <row r="882" spans="9:9" ht="12.75" x14ac:dyDescent="0.35">
      <c r="I882" s="44"/>
    </row>
    <row r="883" spans="9:9" ht="12.75" x14ac:dyDescent="0.35">
      <c r="I883" s="44"/>
    </row>
    <row r="884" spans="9:9" ht="12.75" x14ac:dyDescent="0.35">
      <c r="I884" s="44"/>
    </row>
    <row r="885" spans="9:9" ht="12.75" x14ac:dyDescent="0.35">
      <c r="I885" s="44"/>
    </row>
    <row r="886" spans="9:9" ht="12.75" x14ac:dyDescent="0.35">
      <c r="I886" s="44"/>
    </row>
    <row r="887" spans="9:9" ht="12.75" x14ac:dyDescent="0.35">
      <c r="I887" s="44"/>
    </row>
    <row r="888" spans="9:9" ht="12.75" x14ac:dyDescent="0.35">
      <c r="I888" s="44"/>
    </row>
    <row r="889" spans="9:9" ht="12.75" x14ac:dyDescent="0.35">
      <c r="I889" s="44"/>
    </row>
    <row r="890" spans="9:9" ht="12.75" x14ac:dyDescent="0.35">
      <c r="I890" s="44"/>
    </row>
    <row r="891" spans="9:9" ht="12.75" x14ac:dyDescent="0.35">
      <c r="I891" s="44"/>
    </row>
    <row r="892" spans="9:9" ht="12.75" x14ac:dyDescent="0.35">
      <c r="I892" s="44"/>
    </row>
    <row r="893" spans="9:9" ht="12.75" x14ac:dyDescent="0.35">
      <c r="I893" s="44"/>
    </row>
    <row r="894" spans="9:9" ht="12.75" x14ac:dyDescent="0.35">
      <c r="I894" s="44"/>
    </row>
    <row r="895" spans="9:9" ht="12.75" x14ac:dyDescent="0.35">
      <c r="I895" s="44"/>
    </row>
    <row r="896" spans="9:9" ht="12.75" x14ac:dyDescent="0.35">
      <c r="I896" s="44"/>
    </row>
    <row r="897" spans="9:9" ht="12.75" x14ac:dyDescent="0.35">
      <c r="I897" s="44"/>
    </row>
    <row r="898" spans="9:9" ht="12.75" x14ac:dyDescent="0.35">
      <c r="I898" s="44"/>
    </row>
    <row r="899" spans="9:9" ht="12.75" x14ac:dyDescent="0.35">
      <c r="I899" s="44"/>
    </row>
    <row r="900" spans="9:9" ht="12.75" x14ac:dyDescent="0.35">
      <c r="I900" s="44"/>
    </row>
    <row r="901" spans="9:9" ht="12.75" x14ac:dyDescent="0.35">
      <c r="I901" s="44"/>
    </row>
    <row r="902" spans="9:9" ht="12.75" x14ac:dyDescent="0.35">
      <c r="I902" s="44"/>
    </row>
    <row r="903" spans="9:9" ht="12.75" x14ac:dyDescent="0.35">
      <c r="I903" s="44"/>
    </row>
    <row r="904" spans="9:9" ht="12.75" x14ac:dyDescent="0.35">
      <c r="I904" s="44"/>
    </row>
    <row r="905" spans="9:9" ht="12.75" x14ac:dyDescent="0.35">
      <c r="I905" s="44"/>
    </row>
    <row r="906" spans="9:9" ht="12.75" x14ac:dyDescent="0.35">
      <c r="I906" s="44"/>
    </row>
    <row r="907" spans="9:9" ht="12.75" x14ac:dyDescent="0.35">
      <c r="I907" s="44"/>
    </row>
    <row r="908" spans="9:9" ht="12.75" x14ac:dyDescent="0.35">
      <c r="I908" s="44"/>
    </row>
    <row r="909" spans="9:9" ht="12.75" x14ac:dyDescent="0.35">
      <c r="I909" s="44"/>
    </row>
    <row r="910" spans="9:9" ht="12.75" x14ac:dyDescent="0.35">
      <c r="I910" s="44"/>
    </row>
    <row r="911" spans="9:9" ht="12.75" x14ac:dyDescent="0.35">
      <c r="I911" s="44"/>
    </row>
    <row r="912" spans="9:9" ht="12.75" x14ac:dyDescent="0.35">
      <c r="I912" s="44"/>
    </row>
    <row r="913" spans="9:9" ht="12.75" x14ac:dyDescent="0.35">
      <c r="I913" s="44"/>
    </row>
    <row r="914" spans="9:9" ht="12.75" x14ac:dyDescent="0.35">
      <c r="I914" s="44"/>
    </row>
    <row r="915" spans="9:9" ht="12.75" x14ac:dyDescent="0.35">
      <c r="I915" s="44"/>
    </row>
    <row r="916" spans="9:9" ht="12.75" x14ac:dyDescent="0.35">
      <c r="I916" s="44"/>
    </row>
    <row r="917" spans="9:9" ht="12.75" x14ac:dyDescent="0.35">
      <c r="I917" s="44"/>
    </row>
    <row r="918" spans="9:9" ht="12.75" x14ac:dyDescent="0.35">
      <c r="I918" s="44"/>
    </row>
    <row r="919" spans="9:9" ht="12.75" x14ac:dyDescent="0.35">
      <c r="I919" s="44"/>
    </row>
    <row r="920" spans="9:9" ht="12.75" x14ac:dyDescent="0.35">
      <c r="I920" s="44"/>
    </row>
    <row r="921" spans="9:9" ht="12.75" x14ac:dyDescent="0.35">
      <c r="I921" s="44"/>
    </row>
    <row r="922" spans="9:9" ht="12.75" x14ac:dyDescent="0.35">
      <c r="I922" s="44"/>
    </row>
    <row r="923" spans="9:9" ht="12.75" x14ac:dyDescent="0.35">
      <c r="I923" s="44"/>
    </row>
    <row r="924" spans="9:9" ht="12.75" x14ac:dyDescent="0.35">
      <c r="I924" s="44"/>
    </row>
    <row r="925" spans="9:9" ht="12.75" x14ac:dyDescent="0.35">
      <c r="I925" s="44"/>
    </row>
    <row r="926" spans="9:9" ht="12.75" x14ac:dyDescent="0.35">
      <c r="I926" s="44"/>
    </row>
    <row r="927" spans="9:9" ht="12.75" x14ac:dyDescent="0.35">
      <c r="I927" s="44"/>
    </row>
    <row r="928" spans="9:9" ht="12.75" x14ac:dyDescent="0.35">
      <c r="I928" s="44"/>
    </row>
    <row r="929" spans="9:9" ht="12.75" x14ac:dyDescent="0.35">
      <c r="I929" s="44"/>
    </row>
    <row r="930" spans="9:9" ht="12.75" x14ac:dyDescent="0.35">
      <c r="I930" s="44"/>
    </row>
    <row r="931" spans="9:9" ht="12.75" x14ac:dyDescent="0.35">
      <c r="I931" s="44"/>
    </row>
    <row r="932" spans="9:9" ht="12.75" x14ac:dyDescent="0.35">
      <c r="I932" s="44"/>
    </row>
    <row r="933" spans="9:9" ht="12.75" x14ac:dyDescent="0.35">
      <c r="I933" s="44"/>
    </row>
    <row r="934" spans="9:9" ht="12.75" x14ac:dyDescent="0.35">
      <c r="I934" s="44"/>
    </row>
    <row r="935" spans="9:9" ht="12.75" x14ac:dyDescent="0.35">
      <c r="I935" s="44"/>
    </row>
    <row r="936" spans="9:9" ht="12.75" x14ac:dyDescent="0.35">
      <c r="I936" s="44"/>
    </row>
    <row r="937" spans="9:9" ht="12.75" x14ac:dyDescent="0.35">
      <c r="I937" s="44"/>
    </row>
    <row r="938" spans="9:9" ht="12.75" x14ac:dyDescent="0.35">
      <c r="I938" s="44"/>
    </row>
    <row r="939" spans="9:9" ht="12.75" x14ac:dyDescent="0.35">
      <c r="I939" s="44"/>
    </row>
    <row r="940" spans="9:9" ht="12.75" x14ac:dyDescent="0.35">
      <c r="I940" s="44"/>
    </row>
    <row r="941" spans="9:9" ht="12.75" x14ac:dyDescent="0.35">
      <c r="I941" s="44"/>
    </row>
    <row r="942" spans="9:9" ht="12.75" x14ac:dyDescent="0.35">
      <c r="I942" s="44"/>
    </row>
    <row r="943" spans="9:9" ht="12.75" x14ac:dyDescent="0.35">
      <c r="I943" s="44"/>
    </row>
    <row r="944" spans="9:9" ht="12.75" x14ac:dyDescent="0.35">
      <c r="I944" s="44"/>
    </row>
    <row r="945" spans="9:9" ht="12.75" x14ac:dyDescent="0.35">
      <c r="I945" s="44"/>
    </row>
    <row r="946" spans="9:9" ht="12.75" x14ac:dyDescent="0.35">
      <c r="I946" s="44"/>
    </row>
    <row r="947" spans="9:9" ht="12.75" x14ac:dyDescent="0.35">
      <c r="I947" s="44"/>
    </row>
    <row r="948" spans="9:9" ht="12.75" x14ac:dyDescent="0.35">
      <c r="I948" s="44"/>
    </row>
    <row r="949" spans="9:9" ht="12.75" x14ac:dyDescent="0.35">
      <c r="I949" s="44"/>
    </row>
    <row r="950" spans="9:9" ht="12.75" x14ac:dyDescent="0.35">
      <c r="I950" s="44"/>
    </row>
    <row r="951" spans="9:9" ht="12.75" x14ac:dyDescent="0.35">
      <c r="I951" s="44"/>
    </row>
    <row r="952" spans="9:9" ht="12.75" x14ac:dyDescent="0.35">
      <c r="I952" s="44"/>
    </row>
    <row r="953" spans="9:9" ht="12.75" x14ac:dyDescent="0.35">
      <c r="I953" s="44"/>
    </row>
    <row r="954" spans="9:9" ht="12.75" x14ac:dyDescent="0.35">
      <c r="I954" s="44"/>
    </row>
    <row r="955" spans="9:9" ht="12.75" x14ac:dyDescent="0.35">
      <c r="I955" s="44"/>
    </row>
    <row r="956" spans="9:9" ht="12.75" x14ac:dyDescent="0.35">
      <c r="I956" s="44"/>
    </row>
    <row r="957" spans="9:9" ht="12.75" x14ac:dyDescent="0.35">
      <c r="I957" s="44"/>
    </row>
    <row r="958" spans="9:9" ht="12.75" x14ac:dyDescent="0.35">
      <c r="I958" s="44"/>
    </row>
    <row r="959" spans="9:9" ht="12.75" x14ac:dyDescent="0.35">
      <c r="I959" s="44"/>
    </row>
    <row r="960" spans="9:9" ht="12.75" x14ac:dyDescent="0.35">
      <c r="I960" s="44"/>
    </row>
    <row r="961" spans="9:9" ht="12.75" x14ac:dyDescent="0.35">
      <c r="I961" s="44"/>
    </row>
    <row r="962" spans="9:9" ht="12.75" x14ac:dyDescent="0.35">
      <c r="I962" s="44"/>
    </row>
    <row r="963" spans="9:9" ht="12.75" x14ac:dyDescent="0.35">
      <c r="I963" s="44"/>
    </row>
    <row r="964" spans="9:9" ht="12.75" x14ac:dyDescent="0.35">
      <c r="I964" s="44"/>
    </row>
    <row r="965" spans="9:9" ht="12.75" x14ac:dyDescent="0.35">
      <c r="I965" s="44"/>
    </row>
    <row r="966" spans="9:9" ht="12.75" x14ac:dyDescent="0.35">
      <c r="I966" s="44"/>
    </row>
    <row r="967" spans="9:9" ht="12.75" x14ac:dyDescent="0.35">
      <c r="I967" s="44"/>
    </row>
    <row r="968" spans="9:9" ht="12.75" x14ac:dyDescent="0.35">
      <c r="I968" s="44"/>
    </row>
    <row r="969" spans="9:9" ht="12.75" x14ac:dyDescent="0.35">
      <c r="I969" s="44"/>
    </row>
    <row r="970" spans="9:9" ht="12.75" x14ac:dyDescent="0.35">
      <c r="I970" s="44"/>
    </row>
    <row r="971" spans="9:9" ht="12.75" x14ac:dyDescent="0.35">
      <c r="I971" s="44"/>
    </row>
    <row r="972" spans="9:9" ht="12.75" x14ac:dyDescent="0.35">
      <c r="I972" s="44"/>
    </row>
    <row r="973" spans="9:9" ht="12.75" x14ac:dyDescent="0.35">
      <c r="I973" s="44"/>
    </row>
    <row r="974" spans="9:9" ht="12.75" x14ac:dyDescent="0.35">
      <c r="I974" s="44"/>
    </row>
    <row r="975" spans="9:9" ht="12.75" x14ac:dyDescent="0.35">
      <c r="I975" s="44"/>
    </row>
    <row r="976" spans="9:9" ht="12.75" x14ac:dyDescent="0.35">
      <c r="I976" s="44"/>
    </row>
    <row r="977" spans="9:9" ht="12.75" x14ac:dyDescent="0.35">
      <c r="I977" s="44"/>
    </row>
    <row r="978" spans="9:9" ht="12.75" x14ac:dyDescent="0.35">
      <c r="I978" s="44"/>
    </row>
    <row r="979" spans="9:9" ht="12.75" x14ac:dyDescent="0.35">
      <c r="I979" s="44"/>
    </row>
    <row r="980" spans="9:9" ht="12.75" x14ac:dyDescent="0.35">
      <c r="I980" s="44"/>
    </row>
    <row r="981" spans="9:9" ht="12.75" x14ac:dyDescent="0.35">
      <c r="I981" s="44"/>
    </row>
    <row r="982" spans="9:9" ht="12.75" x14ac:dyDescent="0.35">
      <c r="I982" s="44"/>
    </row>
    <row r="983" spans="9:9" ht="12.75" x14ac:dyDescent="0.35">
      <c r="I983" s="44"/>
    </row>
    <row r="984" spans="9:9" ht="12.75" x14ac:dyDescent="0.35">
      <c r="I984" s="44"/>
    </row>
    <row r="985" spans="9:9" ht="12.75" x14ac:dyDescent="0.35">
      <c r="I985" s="44"/>
    </row>
    <row r="986" spans="9:9" ht="12.75" x14ac:dyDescent="0.35">
      <c r="I986" s="44"/>
    </row>
    <row r="987" spans="9:9" ht="12.75" x14ac:dyDescent="0.35">
      <c r="I987" s="44"/>
    </row>
    <row r="988" spans="9:9" ht="12.75" x14ac:dyDescent="0.35">
      <c r="I988" s="44"/>
    </row>
    <row r="989" spans="9:9" ht="12.75" x14ac:dyDescent="0.35">
      <c r="I989" s="44"/>
    </row>
    <row r="990" spans="9:9" ht="12.75" x14ac:dyDescent="0.35">
      <c r="I990" s="44"/>
    </row>
    <row r="991" spans="9:9" ht="12.75" x14ac:dyDescent="0.35">
      <c r="I991" s="44"/>
    </row>
    <row r="992" spans="9:9" ht="12.75" x14ac:dyDescent="0.35">
      <c r="I992" s="44"/>
    </row>
    <row r="993" spans="9:9" ht="12.75" x14ac:dyDescent="0.35">
      <c r="I993" s="44"/>
    </row>
    <row r="994" spans="9:9" ht="12.75" x14ac:dyDescent="0.35">
      <c r="I994" s="44"/>
    </row>
    <row r="995" spans="9:9" ht="12.75" x14ac:dyDescent="0.35">
      <c r="I995" s="44"/>
    </row>
    <row r="996" spans="9:9" ht="12.75" x14ac:dyDescent="0.35">
      <c r="I996" s="44"/>
    </row>
    <row r="997" spans="9:9" ht="12.75" x14ac:dyDescent="0.35">
      <c r="I997" s="44"/>
    </row>
    <row r="998" spans="9:9" ht="12.75" x14ac:dyDescent="0.35">
      <c r="I998" s="44"/>
    </row>
    <row r="999" spans="9:9" ht="12.75" x14ac:dyDescent="0.35">
      <c r="I999" s="44"/>
    </row>
    <row r="1000" spans="9:9" ht="12.75" x14ac:dyDescent="0.35">
      <c r="I1000" s="44"/>
    </row>
  </sheetData>
  <phoneticPr fontId="19" type="noConversion"/>
  <dataValidations count="3">
    <dataValidation type="list" allowBlank="1" sqref="G3:G59 H3:H230" xr:uid="{00000000-0002-0000-0200-000000000000}">
      <formula1>#REF!</formula1>
    </dataValidation>
    <dataValidation type="list" allowBlank="1" sqref="E3:E59" xr:uid="{00000000-0002-0000-0200-000001000000}">
      <formula1>"Amenidades,Restaurantes,Compras Super,Entretenimiento,Transporte"</formula1>
    </dataValidation>
    <dataValidation type="custom" allowBlank="1" showDropDown="1" sqref="D3:D59" xr:uid="{00000000-0002-0000-0200-000002000000}">
      <formula1>OR(NOT(ISERROR(DATEVALUE(D3))), AND(ISNUMBER(D3), LEFT(CELL("format", D3))="D"))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8E59-FB71-4F11-9AC2-2C4882F43937}">
  <sheetPr>
    <outlinePr summaryBelow="0" summaryRight="0"/>
  </sheetPr>
  <dimension ref="A1:V1000"/>
  <sheetViews>
    <sheetView showGridLines="0" workbookViewId="0">
      <selection activeCell="J16" sqref="J16"/>
    </sheetView>
  </sheetViews>
  <sheetFormatPr defaultColWidth="12.59765625" defaultRowHeight="15.75" customHeight="1" x14ac:dyDescent="0.35"/>
  <cols>
    <col min="1" max="1" width="12.06640625" customWidth="1"/>
    <col min="3" max="3" width="15.73046875" customWidth="1"/>
    <col min="4" max="4" width="14.3984375" customWidth="1"/>
    <col min="5" max="5" width="8.1328125" bestFit="1" customWidth="1"/>
    <col min="9" max="9" width="13.73046875" customWidth="1"/>
    <col min="10" max="10" width="14.73046875" customWidth="1"/>
  </cols>
  <sheetData>
    <row r="1" spans="1:22" ht="16.899999999999999" x14ac:dyDescent="0.5">
      <c r="A1" s="1"/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2.5" customHeight="1" x14ac:dyDescent="0.35">
      <c r="A2" s="5" t="s">
        <v>2</v>
      </c>
      <c r="B2" s="7" t="s">
        <v>1</v>
      </c>
      <c r="C2" s="9" t="s">
        <v>26</v>
      </c>
      <c r="D2" s="9" t="s">
        <v>27</v>
      </c>
      <c r="E2" s="13" t="s">
        <v>28</v>
      </c>
      <c r="F2" s="12" t="s">
        <v>29</v>
      </c>
      <c r="G2" s="12" t="s">
        <v>19</v>
      </c>
      <c r="H2" s="14" t="s">
        <v>30</v>
      </c>
      <c r="I2" s="12" t="s">
        <v>31</v>
      </c>
      <c r="J2" s="15" t="s">
        <v>32</v>
      </c>
    </row>
    <row r="3" spans="1:22" ht="22.5" customHeight="1" x14ac:dyDescent="0.35">
      <c r="A3" s="16" t="s">
        <v>105</v>
      </c>
      <c r="B3" s="16" t="str">
        <f t="array" ref="B3">_xlfn.XLOOKUP(A3,Trips[ID],Trips[Trip],"",0)</f>
        <v>SPS Sep 2026</v>
      </c>
      <c r="C3" s="19" t="s">
        <v>21</v>
      </c>
      <c r="D3" s="20" t="s">
        <v>16</v>
      </c>
      <c r="E3" s="28" t="s">
        <v>39</v>
      </c>
      <c r="F3" s="22">
        <v>27</v>
      </c>
      <c r="G3" s="45">
        <v>46272</v>
      </c>
      <c r="H3" s="23">
        <v>4414.09</v>
      </c>
      <c r="I3" s="22">
        <f t="shared" ref="I3:I5" si="0">IF(E3="$", F3, 1) * H3</f>
        <v>4414.09</v>
      </c>
      <c r="J3" s="24">
        <f t="shared" ref="J3:J5" si="1">H3 / IF(E3="$", 1, F3)</f>
        <v>163.48481481481483</v>
      </c>
    </row>
    <row r="4" spans="1:22" ht="22.5" customHeight="1" x14ac:dyDescent="0.35">
      <c r="A4" s="16" t="s">
        <v>105</v>
      </c>
      <c r="B4" s="25" t="str">
        <f t="array" ref="B4">_xlfn.XLOOKUP(A4,Trips[ID],Trips[Trip],"",0)</f>
        <v>SPS Sep 2026</v>
      </c>
      <c r="C4" s="27" t="s">
        <v>18</v>
      </c>
      <c r="D4" s="20" t="s">
        <v>16</v>
      </c>
      <c r="E4" s="28" t="s">
        <v>39</v>
      </c>
      <c r="F4" s="22">
        <v>27</v>
      </c>
      <c r="G4" s="45">
        <v>46278</v>
      </c>
      <c r="H4" s="29">
        <v>2098</v>
      </c>
      <c r="I4" s="30">
        <f t="shared" si="0"/>
        <v>2098</v>
      </c>
      <c r="J4" s="31">
        <f t="shared" si="1"/>
        <v>77.703703703703709</v>
      </c>
    </row>
    <row r="5" spans="1:22" ht="22.5" customHeight="1" x14ac:dyDescent="0.35">
      <c r="A5" s="16" t="s">
        <v>105</v>
      </c>
      <c r="B5" s="16" t="str">
        <f t="array" ref="B5">_xlfn.XLOOKUP(A5,Trips[ID],Trips[Trip],"",0)</f>
        <v>SPS Sep 2026</v>
      </c>
      <c r="C5" s="33" t="s">
        <v>13</v>
      </c>
      <c r="D5" s="20" t="s">
        <v>16</v>
      </c>
      <c r="E5" s="21" t="s">
        <v>39</v>
      </c>
      <c r="F5" s="22">
        <v>27</v>
      </c>
      <c r="G5" s="45">
        <v>46281</v>
      </c>
      <c r="H5" s="23">
        <v>3000</v>
      </c>
      <c r="I5" s="22">
        <f t="shared" si="0"/>
        <v>3000</v>
      </c>
      <c r="J5" s="24">
        <f t="shared" si="1"/>
        <v>111.11111111111111</v>
      </c>
    </row>
    <row r="6" spans="1:22" ht="22.5" customHeight="1" x14ac:dyDescent="0.35">
      <c r="A6" s="46" t="s">
        <v>8</v>
      </c>
      <c r="B6" t="str" cm="1">
        <f t="array" ref="B6">_xlfn.XLOOKUP(A6,Trips[ID],Trips[Trip],"",0)</f>
        <v>ESV Shakira 2026</v>
      </c>
      <c r="C6" s="46" t="s">
        <v>24</v>
      </c>
      <c r="D6" s="46" t="s">
        <v>16</v>
      </c>
      <c r="E6" s="73" t="s">
        <v>39</v>
      </c>
      <c r="F6">
        <v>26.42</v>
      </c>
      <c r="G6" s="45">
        <v>46063</v>
      </c>
      <c r="H6">
        <v>1427</v>
      </c>
      <c r="I6">
        <f>IF(E6="$", F6, 1) * H6</f>
        <v>1427</v>
      </c>
      <c r="J6">
        <f>H6 / IF(E6="$", 1, F6)</f>
        <v>54.012112036336106</v>
      </c>
    </row>
    <row r="7" spans="1:22" ht="22.5" customHeight="1" x14ac:dyDescent="0.35">
      <c r="A7" s="46" t="s">
        <v>8</v>
      </c>
      <c r="B7" t="str" cm="1">
        <f t="array" ref="B7">_xlfn.XLOOKUP(A7,Trips[ID],Trips[Trip],"",0)</f>
        <v>ESV Shakira 2026</v>
      </c>
      <c r="C7" s="46" t="s">
        <v>18</v>
      </c>
      <c r="D7" s="46" t="s">
        <v>16</v>
      </c>
      <c r="E7" s="73" t="s">
        <v>39</v>
      </c>
      <c r="F7">
        <v>26.42</v>
      </c>
      <c r="G7" s="45">
        <v>46095</v>
      </c>
      <c r="H7">
        <v>2576</v>
      </c>
      <c r="I7">
        <f>IF(E7="$", F7, 1) * H7</f>
        <v>2576</v>
      </c>
      <c r="J7">
        <f>H7 / IF(E7="$", 1, F7)</f>
        <v>97.501892505677517</v>
      </c>
    </row>
    <row r="8" spans="1:22" ht="22.5" customHeight="1" x14ac:dyDescent="0.35">
      <c r="A8" s="46" t="s">
        <v>8</v>
      </c>
      <c r="B8" t="str" cm="1">
        <f t="array" ref="B8">_xlfn.XLOOKUP(A8,Trips[ID],Trips[Trip],"",0)</f>
        <v>ESV Shakira 2026</v>
      </c>
      <c r="C8" s="46" t="s">
        <v>18</v>
      </c>
      <c r="D8" s="46" t="s">
        <v>16</v>
      </c>
      <c r="E8" s="73" t="s">
        <v>39</v>
      </c>
      <c r="F8">
        <v>26.42</v>
      </c>
      <c r="G8" s="45">
        <v>46066</v>
      </c>
      <c r="H8">
        <v>4500</v>
      </c>
      <c r="I8">
        <f>IF(E8="$", F8, 1) * H8</f>
        <v>4500</v>
      </c>
      <c r="J8">
        <f>H8 / IF(E8="$", 1, F8)</f>
        <v>170.32551097653291</v>
      </c>
    </row>
    <row r="9" spans="1:22" ht="22.5" customHeight="1" x14ac:dyDescent="0.35">
      <c r="A9" s="46" t="s">
        <v>8</v>
      </c>
      <c r="B9" t="str" cm="1">
        <f t="array" ref="B9">_xlfn.XLOOKUP(A9,Trips[ID],Trips[Trip],"",0)</f>
        <v>ESV Shakira 2026</v>
      </c>
      <c r="C9" s="46" t="s">
        <v>21</v>
      </c>
      <c r="D9" s="46" t="s">
        <v>16</v>
      </c>
      <c r="E9" s="73" t="s">
        <v>39</v>
      </c>
      <c r="F9">
        <v>26.42</v>
      </c>
      <c r="G9" s="45">
        <v>46066</v>
      </c>
      <c r="H9" s="75">
        <v>7202.07</v>
      </c>
      <c r="I9">
        <f>IF(E9="$", F9, 1) * H9</f>
        <v>7202.07</v>
      </c>
      <c r="J9">
        <f>H9 / IF(E9="$", 1, F9)</f>
        <v>272.59916729750188</v>
      </c>
    </row>
    <row r="10" spans="1:22" ht="22.5" customHeight="1" x14ac:dyDescent="0.35">
      <c r="A10" s="46" t="s">
        <v>8</v>
      </c>
      <c r="B10" t="str" cm="1">
        <f t="array" ref="B10">_xlfn.XLOOKUP(A10,Trips[ID],Trips[Trip],"",0)</f>
        <v>ESV Shakira 2026</v>
      </c>
      <c r="C10" s="46" t="s">
        <v>13</v>
      </c>
      <c r="D10" s="46" t="s">
        <v>16</v>
      </c>
      <c r="E10" s="73" t="s">
        <v>39</v>
      </c>
      <c r="F10">
        <v>26.42</v>
      </c>
      <c r="G10" s="45">
        <v>46083</v>
      </c>
      <c r="H10">
        <v>1911.58</v>
      </c>
      <c r="I10">
        <f>IF(E10="$", F10, 1) * H10</f>
        <v>1911.58</v>
      </c>
      <c r="J10">
        <f>H10 / IF(E10="$", 1, F10)</f>
        <v>72.353520060560172</v>
      </c>
    </row>
    <row r="11" spans="1:22" ht="22.5" customHeight="1" x14ac:dyDescent="0.35">
      <c r="A11" s="46" t="s">
        <v>8</v>
      </c>
      <c r="B11" t="str" cm="1">
        <f t="array" ref="B11">_xlfn.XLOOKUP(A11,Trips[ID],Trips[Trip],"",0)</f>
        <v>ESV Shakira 2026</v>
      </c>
      <c r="C11" s="46" t="s">
        <v>24</v>
      </c>
      <c r="D11" s="46" t="s">
        <v>16</v>
      </c>
      <c r="E11" s="73" t="s">
        <v>39</v>
      </c>
      <c r="F11">
        <v>26.42</v>
      </c>
      <c r="G11" s="45">
        <v>46269</v>
      </c>
      <c r="H11">
        <v>3200</v>
      </c>
      <c r="I11">
        <f>IF(E11="$", F11, 1) * H11</f>
        <v>3200</v>
      </c>
      <c r="J11">
        <f>H11 / IF(E11="$", 1, F11)</f>
        <v>121.12036336109007</v>
      </c>
    </row>
    <row r="12" spans="1:22" ht="22.5" customHeight="1" x14ac:dyDescent="0.35">
      <c r="A12" s="46" t="s">
        <v>8</v>
      </c>
      <c r="B12" t="str" cm="1">
        <f t="array" ref="B12">_xlfn.XLOOKUP(A12,Trips[ID],Trips[Trip],"",0)</f>
        <v>ESV Shakira 2026</v>
      </c>
      <c r="C12" s="46" t="s">
        <v>13</v>
      </c>
      <c r="D12" s="46" t="s">
        <v>16</v>
      </c>
      <c r="E12" s="73" t="s">
        <v>39</v>
      </c>
      <c r="F12">
        <v>26.42</v>
      </c>
      <c r="G12" s="45">
        <v>46260</v>
      </c>
      <c r="H12">
        <v>1000</v>
      </c>
      <c r="I12">
        <f>IF(E12="$", F12, 1) * H12</f>
        <v>1000</v>
      </c>
      <c r="J12">
        <f>H12 / IF(E12="$", 1, F12)</f>
        <v>37.850113550340652</v>
      </c>
    </row>
    <row r="13" spans="1:22" ht="22.5" customHeight="1" x14ac:dyDescent="0.35">
      <c r="E13" s="44"/>
    </row>
    <row r="14" spans="1:22" ht="22.5" customHeight="1" x14ac:dyDescent="0.35">
      <c r="E14" s="44"/>
    </row>
    <row r="15" spans="1:22" ht="22.5" customHeight="1" x14ac:dyDescent="0.35">
      <c r="E15" s="44"/>
    </row>
    <row r="16" spans="1:22" ht="22.5" customHeight="1" x14ac:dyDescent="0.35">
      <c r="E16" s="44"/>
    </row>
    <row r="17" spans="5:5" ht="22.5" customHeight="1" x14ac:dyDescent="0.35">
      <c r="E17" s="44"/>
    </row>
    <row r="18" spans="5:5" ht="22.5" customHeight="1" x14ac:dyDescent="0.35">
      <c r="E18" s="44"/>
    </row>
    <row r="19" spans="5:5" ht="22.5" customHeight="1" x14ac:dyDescent="0.35">
      <c r="E19" s="44"/>
    </row>
    <row r="20" spans="5:5" ht="22.5" customHeight="1" x14ac:dyDescent="0.35">
      <c r="E20" s="44"/>
    </row>
    <row r="21" spans="5:5" ht="22.5" customHeight="1" x14ac:dyDescent="0.35">
      <c r="E21" s="44"/>
    </row>
    <row r="22" spans="5:5" ht="22.5" customHeight="1" x14ac:dyDescent="0.35">
      <c r="E22" s="44"/>
    </row>
    <row r="23" spans="5:5" ht="22.5" customHeight="1" x14ac:dyDescent="0.35">
      <c r="E23" s="44"/>
    </row>
    <row r="24" spans="5:5" ht="22.5" customHeight="1" x14ac:dyDescent="0.35">
      <c r="E24" s="44"/>
    </row>
    <row r="25" spans="5:5" ht="22.5" customHeight="1" x14ac:dyDescent="0.35">
      <c r="E25" s="44"/>
    </row>
    <row r="26" spans="5:5" ht="22.5" customHeight="1" x14ac:dyDescent="0.35">
      <c r="E26" s="44"/>
    </row>
    <row r="27" spans="5:5" ht="22.5" customHeight="1" x14ac:dyDescent="0.35">
      <c r="E27" s="44"/>
    </row>
    <row r="28" spans="5:5" ht="22.5" customHeight="1" x14ac:dyDescent="0.35">
      <c r="E28" s="44"/>
    </row>
    <row r="29" spans="5:5" ht="22.5" customHeight="1" x14ac:dyDescent="0.35">
      <c r="E29" s="44"/>
    </row>
    <row r="30" spans="5:5" ht="22.5" customHeight="1" x14ac:dyDescent="0.35">
      <c r="E30" s="44"/>
    </row>
    <row r="31" spans="5:5" ht="22.5" customHeight="1" x14ac:dyDescent="0.35">
      <c r="E31" s="44"/>
    </row>
    <row r="32" spans="5:5" ht="22.5" customHeight="1" x14ac:dyDescent="0.35">
      <c r="E32" s="44"/>
    </row>
    <row r="33" spans="5:5" ht="22.5" customHeight="1" x14ac:dyDescent="0.35">
      <c r="E33" s="44"/>
    </row>
    <row r="34" spans="5:5" ht="22.5" customHeight="1" x14ac:dyDescent="0.35">
      <c r="E34" s="44"/>
    </row>
    <row r="35" spans="5:5" ht="22.5" customHeight="1" x14ac:dyDescent="0.35">
      <c r="E35" s="44"/>
    </row>
    <row r="36" spans="5:5" ht="22.5" customHeight="1" x14ac:dyDescent="0.35">
      <c r="E36" s="44"/>
    </row>
    <row r="37" spans="5:5" ht="22.5" customHeight="1" x14ac:dyDescent="0.35">
      <c r="E37" s="44"/>
    </row>
    <row r="38" spans="5:5" ht="22.5" customHeight="1" x14ac:dyDescent="0.35">
      <c r="E38" s="44"/>
    </row>
    <row r="39" spans="5:5" ht="22.5" customHeight="1" x14ac:dyDescent="0.35">
      <c r="E39" s="44"/>
    </row>
    <row r="40" spans="5:5" ht="22.5" customHeight="1" x14ac:dyDescent="0.35">
      <c r="E40" s="44"/>
    </row>
    <row r="41" spans="5:5" ht="22.5" customHeight="1" x14ac:dyDescent="0.35">
      <c r="E41" s="44"/>
    </row>
    <row r="42" spans="5:5" ht="22.5" customHeight="1" x14ac:dyDescent="0.35">
      <c r="E42" s="44"/>
    </row>
    <row r="43" spans="5:5" ht="22.5" customHeight="1" x14ac:dyDescent="0.35">
      <c r="E43" s="44"/>
    </row>
    <row r="44" spans="5:5" ht="22.5" customHeight="1" x14ac:dyDescent="0.35">
      <c r="E44" s="44"/>
    </row>
    <row r="45" spans="5:5" ht="22.5" customHeight="1" x14ac:dyDescent="0.35">
      <c r="E45" s="44"/>
    </row>
    <row r="46" spans="5:5" ht="22.5" customHeight="1" x14ac:dyDescent="0.35">
      <c r="E46" s="44"/>
    </row>
    <row r="47" spans="5:5" ht="22.5" customHeight="1" x14ac:dyDescent="0.35">
      <c r="E47" s="44"/>
    </row>
    <row r="48" spans="5:5" ht="22.5" customHeight="1" x14ac:dyDescent="0.35">
      <c r="E48" s="44"/>
    </row>
    <row r="49" spans="5:5" ht="22.5" customHeight="1" x14ac:dyDescent="0.35">
      <c r="E49" s="44"/>
    </row>
    <row r="50" spans="5:5" ht="22.5" customHeight="1" x14ac:dyDescent="0.35">
      <c r="E50" s="44"/>
    </row>
    <row r="51" spans="5:5" ht="22.5" customHeight="1" x14ac:dyDescent="0.35">
      <c r="E51" s="44"/>
    </row>
    <row r="52" spans="5:5" ht="22.5" customHeight="1" x14ac:dyDescent="0.35">
      <c r="E52" s="44"/>
    </row>
    <row r="53" spans="5:5" ht="22.5" customHeight="1" x14ac:dyDescent="0.35">
      <c r="E53" s="44"/>
    </row>
    <row r="54" spans="5:5" ht="22.5" customHeight="1" x14ac:dyDescent="0.35">
      <c r="E54" s="44"/>
    </row>
    <row r="55" spans="5:5" ht="22.5" customHeight="1" x14ac:dyDescent="0.35">
      <c r="E55" s="44"/>
    </row>
    <row r="56" spans="5:5" ht="22.5" customHeight="1" x14ac:dyDescent="0.35">
      <c r="E56" s="44"/>
    </row>
    <row r="57" spans="5:5" ht="22.5" customHeight="1" x14ac:dyDescent="0.35">
      <c r="E57" s="44"/>
    </row>
    <row r="58" spans="5:5" ht="22.5" customHeight="1" x14ac:dyDescent="0.35">
      <c r="E58" s="44"/>
    </row>
    <row r="59" spans="5:5" ht="22.5" customHeight="1" x14ac:dyDescent="0.35">
      <c r="E59" s="44"/>
    </row>
    <row r="60" spans="5:5" ht="12.75" x14ac:dyDescent="0.35">
      <c r="E60" s="44"/>
    </row>
    <row r="61" spans="5:5" ht="12.75" x14ac:dyDescent="0.35">
      <c r="E61" s="44"/>
    </row>
    <row r="62" spans="5:5" ht="12.75" x14ac:dyDescent="0.35">
      <c r="E62" s="44"/>
    </row>
    <row r="63" spans="5:5" ht="12.75" x14ac:dyDescent="0.35">
      <c r="E63" s="44"/>
    </row>
    <row r="64" spans="5:5" ht="12.75" x14ac:dyDescent="0.35">
      <c r="E64" s="44"/>
    </row>
    <row r="65" spans="5:5" ht="12.75" x14ac:dyDescent="0.35">
      <c r="E65" s="44"/>
    </row>
    <row r="66" spans="5:5" ht="12.75" x14ac:dyDescent="0.35">
      <c r="E66" s="44"/>
    </row>
    <row r="67" spans="5:5" ht="12.75" x14ac:dyDescent="0.35">
      <c r="E67" s="44"/>
    </row>
    <row r="68" spans="5:5" ht="12.75" x14ac:dyDescent="0.35">
      <c r="E68" s="44"/>
    </row>
    <row r="69" spans="5:5" ht="12.75" x14ac:dyDescent="0.35">
      <c r="E69" s="44"/>
    </row>
    <row r="70" spans="5:5" ht="12.75" x14ac:dyDescent="0.35">
      <c r="E70" s="44"/>
    </row>
    <row r="71" spans="5:5" ht="12.75" x14ac:dyDescent="0.35">
      <c r="E71" s="44"/>
    </row>
    <row r="72" spans="5:5" ht="12.75" x14ac:dyDescent="0.35">
      <c r="E72" s="44"/>
    </row>
    <row r="73" spans="5:5" ht="12.75" x14ac:dyDescent="0.35">
      <c r="E73" s="44"/>
    </row>
    <row r="74" spans="5:5" ht="12.75" x14ac:dyDescent="0.35">
      <c r="E74" s="44"/>
    </row>
    <row r="75" spans="5:5" ht="12.75" x14ac:dyDescent="0.35">
      <c r="E75" s="44"/>
    </row>
    <row r="76" spans="5:5" ht="12.75" x14ac:dyDescent="0.35">
      <c r="E76" s="44"/>
    </row>
    <row r="77" spans="5:5" ht="12.75" x14ac:dyDescent="0.35">
      <c r="E77" s="44"/>
    </row>
    <row r="78" spans="5:5" ht="12.75" x14ac:dyDescent="0.35">
      <c r="E78" s="44"/>
    </row>
    <row r="79" spans="5:5" ht="12.75" x14ac:dyDescent="0.35">
      <c r="E79" s="44"/>
    </row>
    <row r="80" spans="5:5" ht="12.75" x14ac:dyDescent="0.35">
      <c r="E80" s="44"/>
    </row>
    <row r="81" spans="5:5" ht="12.75" x14ac:dyDescent="0.35">
      <c r="E81" s="44"/>
    </row>
    <row r="82" spans="5:5" ht="12.75" x14ac:dyDescent="0.35">
      <c r="E82" s="44"/>
    </row>
    <row r="83" spans="5:5" ht="12.75" x14ac:dyDescent="0.35">
      <c r="E83" s="44"/>
    </row>
    <row r="84" spans="5:5" ht="12.75" x14ac:dyDescent="0.35">
      <c r="E84" s="44"/>
    </row>
    <row r="85" spans="5:5" ht="12.75" x14ac:dyDescent="0.35">
      <c r="E85" s="44"/>
    </row>
    <row r="86" spans="5:5" ht="12.75" x14ac:dyDescent="0.35">
      <c r="E86" s="44"/>
    </row>
    <row r="87" spans="5:5" ht="12.75" x14ac:dyDescent="0.35">
      <c r="E87" s="44"/>
    </row>
    <row r="88" spans="5:5" ht="12.75" x14ac:dyDescent="0.35">
      <c r="E88" s="44"/>
    </row>
    <row r="89" spans="5:5" ht="12.75" x14ac:dyDescent="0.35">
      <c r="E89" s="44"/>
    </row>
    <row r="90" spans="5:5" ht="12.75" x14ac:dyDescent="0.35">
      <c r="E90" s="44"/>
    </row>
    <row r="91" spans="5:5" ht="12.75" x14ac:dyDescent="0.35">
      <c r="E91" s="44"/>
    </row>
    <row r="92" spans="5:5" ht="12.75" x14ac:dyDescent="0.35">
      <c r="E92" s="44"/>
    </row>
    <row r="93" spans="5:5" ht="12.75" x14ac:dyDescent="0.35">
      <c r="E93" s="44"/>
    </row>
    <row r="94" spans="5:5" ht="12.75" x14ac:dyDescent="0.35">
      <c r="E94" s="44"/>
    </row>
    <row r="95" spans="5:5" ht="12.75" x14ac:dyDescent="0.35">
      <c r="E95" s="44"/>
    </row>
    <row r="96" spans="5:5" ht="12.75" x14ac:dyDescent="0.35">
      <c r="E96" s="44"/>
    </row>
    <row r="97" spans="5:5" ht="12.75" x14ac:dyDescent="0.35">
      <c r="E97" s="44"/>
    </row>
    <row r="98" spans="5:5" ht="12.75" x14ac:dyDescent="0.35">
      <c r="E98" s="44"/>
    </row>
    <row r="99" spans="5:5" ht="12.75" x14ac:dyDescent="0.35">
      <c r="E99" s="44"/>
    </row>
    <row r="100" spans="5:5" ht="12.75" x14ac:dyDescent="0.35">
      <c r="E100" s="44"/>
    </row>
    <row r="101" spans="5:5" ht="12.75" x14ac:dyDescent="0.35">
      <c r="E101" s="44"/>
    </row>
    <row r="102" spans="5:5" ht="12.75" x14ac:dyDescent="0.35">
      <c r="E102" s="44"/>
    </row>
    <row r="103" spans="5:5" ht="12.75" x14ac:dyDescent="0.35">
      <c r="E103" s="44"/>
    </row>
    <row r="104" spans="5:5" ht="12.75" x14ac:dyDescent="0.35">
      <c r="E104" s="44"/>
    </row>
    <row r="105" spans="5:5" ht="12.75" x14ac:dyDescent="0.35">
      <c r="E105" s="44"/>
    </row>
    <row r="106" spans="5:5" ht="12.75" x14ac:dyDescent="0.35">
      <c r="E106" s="44"/>
    </row>
    <row r="107" spans="5:5" ht="12.75" x14ac:dyDescent="0.35">
      <c r="E107" s="44"/>
    </row>
    <row r="108" spans="5:5" ht="12.75" x14ac:dyDescent="0.35">
      <c r="E108" s="44"/>
    </row>
    <row r="109" spans="5:5" ht="12.75" x14ac:dyDescent="0.35">
      <c r="E109" s="44"/>
    </row>
    <row r="110" spans="5:5" ht="12.75" x14ac:dyDescent="0.35">
      <c r="E110" s="44"/>
    </row>
    <row r="111" spans="5:5" ht="12.75" x14ac:dyDescent="0.35">
      <c r="E111" s="44"/>
    </row>
    <row r="112" spans="5:5" ht="12.75" x14ac:dyDescent="0.35">
      <c r="E112" s="44"/>
    </row>
    <row r="113" spans="5:5" ht="12.75" x14ac:dyDescent="0.35">
      <c r="E113" s="44"/>
    </row>
    <row r="114" spans="5:5" ht="12.75" x14ac:dyDescent="0.35">
      <c r="E114" s="44"/>
    </row>
    <row r="115" spans="5:5" ht="12.75" x14ac:dyDescent="0.35">
      <c r="E115" s="44"/>
    </row>
    <row r="116" spans="5:5" ht="12.75" x14ac:dyDescent="0.35">
      <c r="E116" s="44"/>
    </row>
    <row r="117" spans="5:5" ht="12.75" x14ac:dyDescent="0.35">
      <c r="E117" s="44"/>
    </row>
    <row r="118" spans="5:5" ht="12.75" x14ac:dyDescent="0.35">
      <c r="E118" s="44"/>
    </row>
    <row r="119" spans="5:5" ht="12.75" x14ac:dyDescent="0.35">
      <c r="E119" s="44"/>
    </row>
    <row r="120" spans="5:5" ht="12.75" x14ac:dyDescent="0.35">
      <c r="E120" s="44"/>
    </row>
    <row r="121" spans="5:5" ht="12.75" x14ac:dyDescent="0.35">
      <c r="E121" s="44"/>
    </row>
    <row r="122" spans="5:5" ht="12.75" x14ac:dyDescent="0.35">
      <c r="E122" s="44"/>
    </row>
    <row r="123" spans="5:5" ht="12.75" x14ac:dyDescent="0.35">
      <c r="E123" s="44"/>
    </row>
    <row r="124" spans="5:5" ht="12.75" x14ac:dyDescent="0.35">
      <c r="E124" s="44"/>
    </row>
    <row r="125" spans="5:5" ht="12.75" x14ac:dyDescent="0.35">
      <c r="E125" s="44"/>
    </row>
    <row r="126" spans="5:5" ht="12.75" x14ac:dyDescent="0.35">
      <c r="E126" s="44"/>
    </row>
    <row r="127" spans="5:5" ht="12.75" x14ac:dyDescent="0.35">
      <c r="E127" s="44"/>
    </row>
    <row r="128" spans="5:5" ht="12.75" x14ac:dyDescent="0.35">
      <c r="E128" s="44"/>
    </row>
    <row r="129" spans="5:5" ht="12.75" x14ac:dyDescent="0.35">
      <c r="E129" s="44"/>
    </row>
    <row r="130" spans="5:5" ht="12.75" x14ac:dyDescent="0.35">
      <c r="E130" s="44"/>
    </row>
    <row r="131" spans="5:5" ht="12.75" x14ac:dyDescent="0.35">
      <c r="E131" s="44"/>
    </row>
    <row r="132" spans="5:5" ht="12.75" x14ac:dyDescent="0.35">
      <c r="E132" s="44"/>
    </row>
    <row r="133" spans="5:5" ht="12.75" x14ac:dyDescent="0.35">
      <c r="E133" s="44"/>
    </row>
    <row r="134" spans="5:5" ht="12.75" x14ac:dyDescent="0.35">
      <c r="E134" s="44"/>
    </row>
    <row r="135" spans="5:5" ht="12.75" x14ac:dyDescent="0.35">
      <c r="E135" s="44"/>
    </row>
    <row r="136" spans="5:5" ht="12.75" x14ac:dyDescent="0.35">
      <c r="E136" s="44"/>
    </row>
    <row r="137" spans="5:5" ht="12.75" x14ac:dyDescent="0.35">
      <c r="E137" s="44"/>
    </row>
    <row r="138" spans="5:5" ht="12.75" x14ac:dyDescent="0.35">
      <c r="E138" s="44"/>
    </row>
    <row r="139" spans="5:5" ht="12.75" x14ac:dyDescent="0.35">
      <c r="E139" s="44"/>
    </row>
    <row r="140" spans="5:5" ht="12.75" x14ac:dyDescent="0.35">
      <c r="E140" s="44"/>
    </row>
    <row r="141" spans="5:5" ht="12.75" x14ac:dyDescent="0.35">
      <c r="E141" s="44"/>
    </row>
    <row r="142" spans="5:5" ht="12.75" x14ac:dyDescent="0.35">
      <c r="E142" s="44"/>
    </row>
    <row r="143" spans="5:5" ht="12.75" x14ac:dyDescent="0.35">
      <c r="E143" s="44"/>
    </row>
    <row r="144" spans="5:5" ht="12.75" x14ac:dyDescent="0.35">
      <c r="E144" s="44"/>
    </row>
    <row r="145" spans="5:5" ht="12.75" x14ac:dyDescent="0.35">
      <c r="E145" s="44"/>
    </row>
    <row r="146" spans="5:5" ht="12.75" x14ac:dyDescent="0.35">
      <c r="E146" s="44"/>
    </row>
    <row r="147" spans="5:5" ht="12.75" x14ac:dyDescent="0.35">
      <c r="E147" s="44"/>
    </row>
    <row r="148" spans="5:5" ht="12.75" x14ac:dyDescent="0.35">
      <c r="E148" s="44"/>
    </row>
    <row r="149" spans="5:5" ht="12.75" x14ac:dyDescent="0.35">
      <c r="E149" s="44"/>
    </row>
    <row r="150" spans="5:5" ht="12.75" x14ac:dyDescent="0.35">
      <c r="E150" s="44"/>
    </row>
    <row r="151" spans="5:5" ht="12.75" x14ac:dyDescent="0.35">
      <c r="E151" s="44"/>
    </row>
    <row r="152" spans="5:5" ht="12.75" x14ac:dyDescent="0.35">
      <c r="E152" s="44"/>
    </row>
    <row r="153" spans="5:5" ht="12.75" x14ac:dyDescent="0.35">
      <c r="E153" s="44"/>
    </row>
    <row r="154" spans="5:5" ht="12.75" x14ac:dyDescent="0.35">
      <c r="E154" s="44"/>
    </row>
    <row r="155" spans="5:5" ht="12.75" x14ac:dyDescent="0.35">
      <c r="E155" s="44"/>
    </row>
    <row r="156" spans="5:5" ht="12.75" x14ac:dyDescent="0.35">
      <c r="E156" s="44"/>
    </row>
    <row r="157" spans="5:5" ht="12.75" x14ac:dyDescent="0.35">
      <c r="E157" s="44"/>
    </row>
    <row r="158" spans="5:5" ht="12.75" x14ac:dyDescent="0.35">
      <c r="E158" s="44"/>
    </row>
    <row r="159" spans="5:5" ht="12.75" x14ac:dyDescent="0.35">
      <c r="E159" s="44"/>
    </row>
    <row r="160" spans="5:5" ht="12.75" x14ac:dyDescent="0.35">
      <c r="E160" s="44"/>
    </row>
    <row r="161" spans="5:5" ht="12.75" x14ac:dyDescent="0.35">
      <c r="E161" s="44"/>
    </row>
    <row r="162" spans="5:5" ht="12.75" x14ac:dyDescent="0.35">
      <c r="E162" s="44"/>
    </row>
    <row r="163" spans="5:5" ht="12.75" x14ac:dyDescent="0.35">
      <c r="E163" s="44"/>
    </row>
    <row r="164" spans="5:5" ht="12.75" x14ac:dyDescent="0.35">
      <c r="E164" s="44"/>
    </row>
    <row r="165" spans="5:5" ht="12.75" x14ac:dyDescent="0.35">
      <c r="E165" s="44"/>
    </row>
    <row r="166" spans="5:5" ht="12.75" x14ac:dyDescent="0.35">
      <c r="E166" s="44"/>
    </row>
    <row r="167" spans="5:5" ht="12.75" x14ac:dyDescent="0.35">
      <c r="E167" s="44"/>
    </row>
    <row r="168" spans="5:5" ht="12.75" x14ac:dyDescent="0.35">
      <c r="E168" s="44"/>
    </row>
    <row r="169" spans="5:5" ht="12.75" x14ac:dyDescent="0.35">
      <c r="E169" s="44"/>
    </row>
    <row r="170" spans="5:5" ht="12.75" x14ac:dyDescent="0.35">
      <c r="E170" s="44"/>
    </row>
    <row r="171" spans="5:5" ht="12.75" x14ac:dyDescent="0.35">
      <c r="E171" s="44"/>
    </row>
    <row r="172" spans="5:5" ht="12.75" x14ac:dyDescent="0.35">
      <c r="E172" s="44"/>
    </row>
    <row r="173" spans="5:5" ht="12.75" x14ac:dyDescent="0.35">
      <c r="E173" s="44"/>
    </row>
    <row r="174" spans="5:5" ht="12.75" x14ac:dyDescent="0.35">
      <c r="E174" s="44"/>
    </row>
    <row r="175" spans="5:5" ht="12.75" x14ac:dyDescent="0.35">
      <c r="E175" s="44"/>
    </row>
    <row r="176" spans="5:5" ht="12.75" x14ac:dyDescent="0.35">
      <c r="E176" s="44"/>
    </row>
    <row r="177" spans="5:5" ht="12.75" x14ac:dyDescent="0.35">
      <c r="E177" s="44"/>
    </row>
    <row r="178" spans="5:5" ht="12.75" x14ac:dyDescent="0.35">
      <c r="E178" s="44"/>
    </row>
    <row r="179" spans="5:5" ht="12.75" x14ac:dyDescent="0.35">
      <c r="E179" s="44"/>
    </row>
    <row r="180" spans="5:5" ht="12.75" x14ac:dyDescent="0.35">
      <c r="E180" s="44"/>
    </row>
    <row r="181" spans="5:5" ht="12.75" x14ac:dyDescent="0.35">
      <c r="E181" s="44"/>
    </row>
    <row r="182" spans="5:5" ht="12.75" x14ac:dyDescent="0.35">
      <c r="E182" s="44"/>
    </row>
    <row r="183" spans="5:5" ht="12.75" x14ac:dyDescent="0.35">
      <c r="E183" s="44"/>
    </row>
    <row r="184" spans="5:5" ht="12.75" x14ac:dyDescent="0.35">
      <c r="E184" s="44"/>
    </row>
    <row r="185" spans="5:5" ht="12.75" x14ac:dyDescent="0.35">
      <c r="E185" s="44"/>
    </row>
    <row r="186" spans="5:5" ht="12.75" x14ac:dyDescent="0.35">
      <c r="E186" s="44"/>
    </row>
    <row r="187" spans="5:5" ht="12.75" x14ac:dyDescent="0.35">
      <c r="E187" s="44"/>
    </row>
    <row r="188" spans="5:5" ht="12.75" x14ac:dyDescent="0.35">
      <c r="E188" s="44"/>
    </row>
    <row r="189" spans="5:5" ht="12.75" x14ac:dyDescent="0.35">
      <c r="E189" s="44"/>
    </row>
    <row r="190" spans="5:5" ht="12.75" x14ac:dyDescent="0.35">
      <c r="E190" s="44"/>
    </row>
    <row r="191" spans="5:5" ht="12.75" x14ac:dyDescent="0.35">
      <c r="E191" s="44"/>
    </row>
    <row r="192" spans="5:5" ht="12.75" x14ac:dyDescent="0.35">
      <c r="E192" s="44"/>
    </row>
    <row r="193" spans="5:5" ht="12.75" x14ac:dyDescent="0.35">
      <c r="E193" s="44"/>
    </row>
    <row r="194" spans="5:5" ht="12.75" x14ac:dyDescent="0.35">
      <c r="E194" s="44"/>
    </row>
    <row r="195" spans="5:5" ht="12.75" x14ac:dyDescent="0.35">
      <c r="E195" s="44"/>
    </row>
    <row r="196" spans="5:5" ht="12.75" x14ac:dyDescent="0.35">
      <c r="E196" s="44"/>
    </row>
    <row r="197" spans="5:5" ht="12.75" x14ac:dyDescent="0.35">
      <c r="E197" s="44"/>
    </row>
    <row r="198" spans="5:5" ht="12.75" x14ac:dyDescent="0.35">
      <c r="E198" s="44"/>
    </row>
    <row r="199" spans="5:5" ht="12.75" x14ac:dyDescent="0.35">
      <c r="E199" s="44"/>
    </row>
    <row r="200" spans="5:5" ht="12.75" x14ac:dyDescent="0.35">
      <c r="E200" s="44"/>
    </row>
    <row r="201" spans="5:5" ht="12.75" x14ac:dyDescent="0.35">
      <c r="E201" s="44"/>
    </row>
    <row r="202" spans="5:5" ht="12.75" x14ac:dyDescent="0.35">
      <c r="E202" s="44"/>
    </row>
    <row r="203" spans="5:5" ht="12.75" x14ac:dyDescent="0.35">
      <c r="E203" s="44"/>
    </row>
    <row r="204" spans="5:5" ht="12.75" x14ac:dyDescent="0.35">
      <c r="E204" s="44"/>
    </row>
    <row r="205" spans="5:5" ht="12.75" x14ac:dyDescent="0.35">
      <c r="E205" s="44"/>
    </row>
    <row r="206" spans="5:5" ht="12.75" x14ac:dyDescent="0.35">
      <c r="E206" s="44"/>
    </row>
    <row r="207" spans="5:5" ht="12.75" x14ac:dyDescent="0.35">
      <c r="E207" s="44"/>
    </row>
    <row r="208" spans="5:5" ht="12.75" x14ac:dyDescent="0.35">
      <c r="E208" s="44"/>
    </row>
    <row r="209" spans="5:5" ht="12.75" x14ac:dyDescent="0.35">
      <c r="E209" s="44"/>
    </row>
    <row r="210" spans="5:5" ht="12.75" x14ac:dyDescent="0.35">
      <c r="E210" s="44"/>
    </row>
    <row r="211" spans="5:5" ht="12.75" x14ac:dyDescent="0.35">
      <c r="E211" s="44"/>
    </row>
    <row r="212" spans="5:5" ht="12.75" x14ac:dyDescent="0.35">
      <c r="E212" s="44"/>
    </row>
    <row r="213" spans="5:5" ht="12.75" x14ac:dyDescent="0.35">
      <c r="E213" s="44"/>
    </row>
    <row r="214" spans="5:5" ht="12.75" x14ac:dyDescent="0.35">
      <c r="E214" s="44"/>
    </row>
    <row r="215" spans="5:5" ht="12.75" x14ac:dyDescent="0.35">
      <c r="E215" s="44"/>
    </row>
    <row r="216" spans="5:5" ht="12.75" x14ac:dyDescent="0.35">
      <c r="E216" s="44"/>
    </row>
    <row r="217" spans="5:5" ht="12.75" x14ac:dyDescent="0.35">
      <c r="E217" s="44"/>
    </row>
    <row r="218" spans="5:5" ht="12.75" x14ac:dyDescent="0.35">
      <c r="E218" s="44"/>
    </row>
    <row r="219" spans="5:5" ht="12.75" x14ac:dyDescent="0.35">
      <c r="E219" s="44"/>
    </row>
    <row r="220" spans="5:5" ht="12.75" x14ac:dyDescent="0.35">
      <c r="E220" s="44"/>
    </row>
    <row r="221" spans="5:5" ht="12.75" x14ac:dyDescent="0.35">
      <c r="E221" s="44"/>
    </row>
    <row r="222" spans="5:5" ht="12.75" x14ac:dyDescent="0.35">
      <c r="E222" s="44"/>
    </row>
    <row r="223" spans="5:5" ht="12.75" x14ac:dyDescent="0.35">
      <c r="E223" s="44"/>
    </row>
    <row r="224" spans="5:5" ht="12.75" x14ac:dyDescent="0.35">
      <c r="E224" s="44"/>
    </row>
    <row r="225" spans="5:5" ht="12.75" x14ac:dyDescent="0.35">
      <c r="E225" s="44"/>
    </row>
    <row r="226" spans="5:5" ht="12.75" x14ac:dyDescent="0.35">
      <c r="E226" s="44"/>
    </row>
    <row r="227" spans="5:5" ht="12.75" x14ac:dyDescent="0.35">
      <c r="E227" s="44"/>
    </row>
    <row r="228" spans="5:5" ht="12.75" x14ac:dyDescent="0.35">
      <c r="E228" s="44"/>
    </row>
    <row r="229" spans="5:5" ht="12.75" x14ac:dyDescent="0.35">
      <c r="E229" s="44"/>
    </row>
    <row r="230" spans="5:5" ht="12.75" x14ac:dyDescent="0.35">
      <c r="E230" s="44"/>
    </row>
    <row r="231" spans="5:5" ht="12.75" x14ac:dyDescent="0.35">
      <c r="E231" s="44"/>
    </row>
    <row r="232" spans="5:5" ht="12.75" x14ac:dyDescent="0.35">
      <c r="E232" s="44"/>
    </row>
    <row r="233" spans="5:5" ht="12.75" x14ac:dyDescent="0.35">
      <c r="E233" s="44"/>
    </row>
    <row r="234" spans="5:5" ht="12.75" x14ac:dyDescent="0.35">
      <c r="E234" s="44"/>
    </row>
    <row r="235" spans="5:5" ht="12.75" x14ac:dyDescent="0.35">
      <c r="E235" s="44"/>
    </row>
    <row r="236" spans="5:5" ht="12.75" x14ac:dyDescent="0.35">
      <c r="E236" s="44"/>
    </row>
    <row r="237" spans="5:5" ht="12.75" x14ac:dyDescent="0.35">
      <c r="E237" s="44"/>
    </row>
    <row r="238" spans="5:5" ht="12.75" x14ac:dyDescent="0.35">
      <c r="E238" s="44"/>
    </row>
    <row r="239" spans="5:5" ht="12.75" x14ac:dyDescent="0.35">
      <c r="E239" s="44"/>
    </row>
    <row r="240" spans="5:5" ht="12.75" x14ac:dyDescent="0.35">
      <c r="E240" s="44"/>
    </row>
    <row r="241" spans="5:5" ht="12.75" x14ac:dyDescent="0.35">
      <c r="E241" s="44"/>
    </row>
    <row r="242" spans="5:5" ht="12.75" x14ac:dyDescent="0.35">
      <c r="E242" s="44"/>
    </row>
    <row r="243" spans="5:5" ht="12.75" x14ac:dyDescent="0.35">
      <c r="E243" s="44"/>
    </row>
    <row r="244" spans="5:5" ht="12.75" x14ac:dyDescent="0.35">
      <c r="E244" s="44"/>
    </row>
    <row r="245" spans="5:5" ht="12.75" x14ac:dyDescent="0.35">
      <c r="E245" s="44"/>
    </row>
    <row r="246" spans="5:5" ht="12.75" x14ac:dyDescent="0.35">
      <c r="E246" s="44"/>
    </row>
    <row r="247" spans="5:5" ht="12.75" x14ac:dyDescent="0.35">
      <c r="E247" s="44"/>
    </row>
    <row r="248" spans="5:5" ht="12.75" x14ac:dyDescent="0.35">
      <c r="E248" s="44"/>
    </row>
    <row r="249" spans="5:5" ht="12.75" x14ac:dyDescent="0.35">
      <c r="E249" s="44"/>
    </row>
    <row r="250" spans="5:5" ht="12.75" x14ac:dyDescent="0.35">
      <c r="E250" s="44"/>
    </row>
    <row r="251" spans="5:5" ht="12.75" x14ac:dyDescent="0.35">
      <c r="E251" s="44"/>
    </row>
    <row r="252" spans="5:5" ht="12.75" x14ac:dyDescent="0.35">
      <c r="E252" s="44"/>
    </row>
    <row r="253" spans="5:5" ht="12.75" x14ac:dyDescent="0.35">
      <c r="E253" s="44"/>
    </row>
    <row r="254" spans="5:5" ht="12.75" x14ac:dyDescent="0.35">
      <c r="E254" s="44"/>
    </row>
    <row r="255" spans="5:5" ht="12.75" x14ac:dyDescent="0.35">
      <c r="E255" s="44"/>
    </row>
    <row r="256" spans="5:5" ht="12.75" x14ac:dyDescent="0.35">
      <c r="E256" s="44"/>
    </row>
    <row r="257" spans="5:5" ht="12.75" x14ac:dyDescent="0.35">
      <c r="E257" s="44"/>
    </row>
    <row r="258" spans="5:5" ht="12.75" x14ac:dyDescent="0.35">
      <c r="E258" s="44"/>
    </row>
    <row r="259" spans="5:5" ht="12.75" x14ac:dyDescent="0.35">
      <c r="E259" s="44"/>
    </row>
    <row r="260" spans="5:5" ht="12.75" x14ac:dyDescent="0.35">
      <c r="E260" s="44"/>
    </row>
    <row r="261" spans="5:5" ht="12.75" x14ac:dyDescent="0.35">
      <c r="E261" s="44"/>
    </row>
    <row r="262" spans="5:5" ht="12.75" x14ac:dyDescent="0.35">
      <c r="E262" s="44"/>
    </row>
    <row r="263" spans="5:5" ht="12.75" x14ac:dyDescent="0.35">
      <c r="E263" s="44"/>
    </row>
    <row r="264" spans="5:5" ht="12.75" x14ac:dyDescent="0.35">
      <c r="E264" s="44"/>
    </row>
    <row r="265" spans="5:5" ht="12.75" x14ac:dyDescent="0.35">
      <c r="E265" s="44"/>
    </row>
    <row r="266" spans="5:5" ht="12.75" x14ac:dyDescent="0.35">
      <c r="E266" s="44"/>
    </row>
    <row r="267" spans="5:5" ht="12.75" x14ac:dyDescent="0.35">
      <c r="E267" s="44"/>
    </row>
    <row r="268" spans="5:5" ht="12.75" x14ac:dyDescent="0.35">
      <c r="E268" s="44"/>
    </row>
    <row r="269" spans="5:5" ht="12.75" x14ac:dyDescent="0.35">
      <c r="E269" s="44"/>
    </row>
    <row r="270" spans="5:5" ht="12.75" x14ac:dyDescent="0.35">
      <c r="E270" s="44"/>
    </row>
    <row r="271" spans="5:5" ht="12.75" x14ac:dyDescent="0.35">
      <c r="E271" s="44"/>
    </row>
    <row r="272" spans="5:5" ht="12.75" x14ac:dyDescent="0.35">
      <c r="E272" s="44"/>
    </row>
    <row r="273" spans="5:5" ht="12.75" x14ac:dyDescent="0.35">
      <c r="E273" s="44"/>
    </row>
    <row r="274" spans="5:5" ht="12.75" x14ac:dyDescent="0.35">
      <c r="E274" s="44"/>
    </row>
    <row r="275" spans="5:5" ht="12.75" x14ac:dyDescent="0.35">
      <c r="E275" s="44"/>
    </row>
    <row r="276" spans="5:5" ht="12.75" x14ac:dyDescent="0.35">
      <c r="E276" s="44"/>
    </row>
    <row r="277" spans="5:5" ht="12.75" x14ac:dyDescent="0.35">
      <c r="E277" s="44"/>
    </row>
    <row r="278" spans="5:5" ht="12.75" x14ac:dyDescent="0.35">
      <c r="E278" s="44"/>
    </row>
    <row r="279" spans="5:5" ht="12.75" x14ac:dyDescent="0.35">
      <c r="E279" s="44"/>
    </row>
    <row r="280" spans="5:5" ht="12.75" x14ac:dyDescent="0.35">
      <c r="E280" s="44"/>
    </row>
    <row r="281" spans="5:5" ht="12.75" x14ac:dyDescent="0.35">
      <c r="E281" s="44"/>
    </row>
    <row r="282" spans="5:5" ht="12.75" x14ac:dyDescent="0.35">
      <c r="E282" s="44"/>
    </row>
    <row r="283" spans="5:5" ht="12.75" x14ac:dyDescent="0.35">
      <c r="E283" s="44"/>
    </row>
    <row r="284" spans="5:5" ht="12.75" x14ac:dyDescent="0.35">
      <c r="E284" s="44"/>
    </row>
    <row r="285" spans="5:5" ht="12.75" x14ac:dyDescent="0.35">
      <c r="E285" s="44"/>
    </row>
    <row r="286" spans="5:5" ht="12.75" x14ac:dyDescent="0.35">
      <c r="E286" s="44"/>
    </row>
    <row r="287" spans="5:5" ht="12.75" x14ac:dyDescent="0.35">
      <c r="E287" s="44"/>
    </row>
    <row r="288" spans="5:5" ht="12.75" x14ac:dyDescent="0.35">
      <c r="E288" s="44"/>
    </row>
    <row r="289" spans="5:5" ht="12.75" x14ac:dyDescent="0.35">
      <c r="E289" s="44"/>
    </row>
    <row r="290" spans="5:5" ht="12.75" x14ac:dyDescent="0.35">
      <c r="E290" s="44"/>
    </row>
    <row r="291" spans="5:5" ht="12.75" x14ac:dyDescent="0.35">
      <c r="E291" s="44"/>
    </row>
    <row r="292" spans="5:5" ht="12.75" x14ac:dyDescent="0.35">
      <c r="E292" s="44"/>
    </row>
    <row r="293" spans="5:5" ht="12.75" x14ac:dyDescent="0.35">
      <c r="E293" s="44"/>
    </row>
    <row r="294" spans="5:5" ht="12.75" x14ac:dyDescent="0.35">
      <c r="E294" s="44"/>
    </row>
    <row r="295" spans="5:5" ht="12.75" x14ac:dyDescent="0.35">
      <c r="E295" s="44"/>
    </row>
    <row r="296" spans="5:5" ht="12.75" x14ac:dyDescent="0.35">
      <c r="E296" s="44"/>
    </row>
    <row r="297" spans="5:5" ht="12.75" x14ac:dyDescent="0.35">
      <c r="E297" s="44"/>
    </row>
    <row r="298" spans="5:5" ht="12.75" x14ac:dyDescent="0.35">
      <c r="E298" s="44"/>
    </row>
    <row r="299" spans="5:5" ht="12.75" x14ac:dyDescent="0.35">
      <c r="E299" s="44"/>
    </row>
    <row r="300" spans="5:5" ht="12.75" x14ac:dyDescent="0.35">
      <c r="E300" s="44"/>
    </row>
    <row r="301" spans="5:5" ht="12.75" x14ac:dyDescent="0.35">
      <c r="E301" s="44"/>
    </row>
    <row r="302" spans="5:5" ht="12.75" x14ac:dyDescent="0.35">
      <c r="E302" s="44"/>
    </row>
    <row r="303" spans="5:5" ht="12.75" x14ac:dyDescent="0.35">
      <c r="E303" s="44"/>
    </row>
    <row r="304" spans="5:5" ht="12.75" x14ac:dyDescent="0.35">
      <c r="E304" s="44"/>
    </row>
    <row r="305" spans="5:5" ht="12.75" x14ac:dyDescent="0.35">
      <c r="E305" s="44"/>
    </row>
    <row r="306" spans="5:5" ht="12.75" x14ac:dyDescent="0.35">
      <c r="E306" s="44"/>
    </row>
    <row r="307" spans="5:5" ht="12.75" x14ac:dyDescent="0.35">
      <c r="E307" s="44"/>
    </row>
    <row r="308" spans="5:5" ht="12.75" x14ac:dyDescent="0.35">
      <c r="E308" s="44"/>
    </row>
    <row r="309" spans="5:5" ht="12.75" x14ac:dyDescent="0.35">
      <c r="E309" s="44"/>
    </row>
    <row r="310" spans="5:5" ht="12.75" x14ac:dyDescent="0.35">
      <c r="E310" s="44"/>
    </row>
    <row r="311" spans="5:5" ht="12.75" x14ac:dyDescent="0.35">
      <c r="E311" s="44"/>
    </row>
    <row r="312" spans="5:5" ht="12.75" x14ac:dyDescent="0.35">
      <c r="E312" s="44"/>
    </row>
    <row r="313" spans="5:5" ht="12.75" x14ac:dyDescent="0.35">
      <c r="E313" s="44"/>
    </row>
    <row r="314" spans="5:5" ht="12.75" x14ac:dyDescent="0.35">
      <c r="E314" s="44"/>
    </row>
    <row r="315" spans="5:5" ht="12.75" x14ac:dyDescent="0.35">
      <c r="E315" s="44"/>
    </row>
    <row r="316" spans="5:5" ht="12.75" x14ac:dyDescent="0.35">
      <c r="E316" s="44"/>
    </row>
    <row r="317" spans="5:5" ht="12.75" x14ac:dyDescent="0.35">
      <c r="E317" s="44"/>
    </row>
    <row r="318" spans="5:5" ht="12.75" x14ac:dyDescent="0.35">
      <c r="E318" s="44"/>
    </row>
    <row r="319" spans="5:5" ht="12.75" x14ac:dyDescent="0.35">
      <c r="E319" s="44"/>
    </row>
    <row r="320" spans="5:5" ht="12.75" x14ac:dyDescent="0.35">
      <c r="E320" s="44"/>
    </row>
    <row r="321" spans="5:5" ht="12.75" x14ac:dyDescent="0.35">
      <c r="E321" s="44"/>
    </row>
    <row r="322" spans="5:5" ht="12.75" x14ac:dyDescent="0.35">
      <c r="E322" s="44"/>
    </row>
    <row r="323" spans="5:5" ht="12.75" x14ac:dyDescent="0.35">
      <c r="E323" s="44"/>
    </row>
    <row r="324" spans="5:5" ht="12.75" x14ac:dyDescent="0.35">
      <c r="E324" s="44"/>
    </row>
    <row r="325" spans="5:5" ht="12.75" x14ac:dyDescent="0.35">
      <c r="E325" s="44"/>
    </row>
    <row r="326" spans="5:5" ht="12.75" x14ac:dyDescent="0.35">
      <c r="E326" s="44"/>
    </row>
    <row r="327" spans="5:5" ht="12.75" x14ac:dyDescent="0.35">
      <c r="E327" s="44"/>
    </row>
    <row r="328" spans="5:5" ht="12.75" x14ac:dyDescent="0.35">
      <c r="E328" s="44"/>
    </row>
    <row r="329" spans="5:5" ht="12.75" x14ac:dyDescent="0.35">
      <c r="E329" s="44"/>
    </row>
    <row r="330" spans="5:5" ht="12.75" x14ac:dyDescent="0.35">
      <c r="E330" s="44"/>
    </row>
    <row r="331" spans="5:5" ht="12.75" x14ac:dyDescent="0.35">
      <c r="E331" s="44"/>
    </row>
    <row r="332" spans="5:5" ht="12.75" x14ac:dyDescent="0.35">
      <c r="E332" s="44"/>
    </row>
    <row r="333" spans="5:5" ht="12.75" x14ac:dyDescent="0.35">
      <c r="E333" s="44"/>
    </row>
    <row r="334" spans="5:5" ht="12.75" x14ac:dyDescent="0.35">
      <c r="E334" s="44"/>
    </row>
    <row r="335" spans="5:5" ht="12.75" x14ac:dyDescent="0.35">
      <c r="E335" s="44"/>
    </row>
    <row r="336" spans="5:5" ht="12.75" x14ac:dyDescent="0.35">
      <c r="E336" s="44"/>
    </row>
    <row r="337" spans="5:5" ht="12.75" x14ac:dyDescent="0.35">
      <c r="E337" s="44"/>
    </row>
    <row r="338" spans="5:5" ht="12.75" x14ac:dyDescent="0.35">
      <c r="E338" s="44"/>
    </row>
    <row r="339" spans="5:5" ht="12.75" x14ac:dyDescent="0.35">
      <c r="E339" s="44"/>
    </row>
    <row r="340" spans="5:5" ht="12.75" x14ac:dyDescent="0.35">
      <c r="E340" s="44"/>
    </row>
    <row r="341" spans="5:5" ht="12.75" x14ac:dyDescent="0.35">
      <c r="E341" s="44"/>
    </row>
    <row r="342" spans="5:5" ht="12.75" x14ac:dyDescent="0.35">
      <c r="E342" s="44"/>
    </row>
    <row r="343" spans="5:5" ht="12.75" x14ac:dyDescent="0.35">
      <c r="E343" s="44"/>
    </row>
    <row r="344" spans="5:5" ht="12.75" x14ac:dyDescent="0.35">
      <c r="E344" s="44"/>
    </row>
    <row r="345" spans="5:5" ht="12.75" x14ac:dyDescent="0.35">
      <c r="E345" s="44"/>
    </row>
    <row r="346" spans="5:5" ht="12.75" x14ac:dyDescent="0.35">
      <c r="E346" s="44"/>
    </row>
    <row r="347" spans="5:5" ht="12.75" x14ac:dyDescent="0.35">
      <c r="E347" s="44"/>
    </row>
    <row r="348" spans="5:5" ht="12.75" x14ac:dyDescent="0.35">
      <c r="E348" s="44"/>
    </row>
    <row r="349" spans="5:5" ht="12.75" x14ac:dyDescent="0.35">
      <c r="E349" s="44"/>
    </row>
    <row r="350" spans="5:5" ht="12.75" x14ac:dyDescent="0.35">
      <c r="E350" s="44"/>
    </row>
    <row r="351" spans="5:5" ht="12.75" x14ac:dyDescent="0.35">
      <c r="E351" s="44"/>
    </row>
    <row r="352" spans="5:5" ht="12.75" x14ac:dyDescent="0.35">
      <c r="E352" s="44"/>
    </row>
    <row r="353" spans="5:5" ht="12.75" x14ac:dyDescent="0.35">
      <c r="E353" s="44"/>
    </row>
    <row r="354" spans="5:5" ht="12.75" x14ac:dyDescent="0.35">
      <c r="E354" s="44"/>
    </row>
    <row r="355" spans="5:5" ht="12.75" x14ac:dyDescent="0.35">
      <c r="E355" s="44"/>
    </row>
    <row r="356" spans="5:5" ht="12.75" x14ac:dyDescent="0.35">
      <c r="E356" s="44"/>
    </row>
    <row r="357" spans="5:5" ht="12.75" x14ac:dyDescent="0.35">
      <c r="E357" s="44"/>
    </row>
    <row r="358" spans="5:5" ht="12.75" x14ac:dyDescent="0.35">
      <c r="E358" s="44"/>
    </row>
    <row r="359" spans="5:5" ht="12.75" x14ac:dyDescent="0.35">
      <c r="E359" s="44"/>
    </row>
    <row r="360" spans="5:5" ht="12.75" x14ac:dyDescent="0.35">
      <c r="E360" s="44"/>
    </row>
    <row r="361" spans="5:5" ht="12.75" x14ac:dyDescent="0.35">
      <c r="E361" s="44"/>
    </row>
    <row r="362" spans="5:5" ht="12.75" x14ac:dyDescent="0.35">
      <c r="E362" s="44"/>
    </row>
    <row r="363" spans="5:5" ht="12.75" x14ac:dyDescent="0.35">
      <c r="E363" s="44"/>
    </row>
    <row r="364" spans="5:5" ht="12.75" x14ac:dyDescent="0.35">
      <c r="E364" s="44"/>
    </row>
    <row r="365" spans="5:5" ht="12.75" x14ac:dyDescent="0.35">
      <c r="E365" s="44"/>
    </row>
    <row r="366" spans="5:5" ht="12.75" x14ac:dyDescent="0.35">
      <c r="E366" s="44"/>
    </row>
    <row r="367" spans="5:5" ht="12.75" x14ac:dyDescent="0.35">
      <c r="E367" s="44"/>
    </row>
    <row r="368" spans="5:5" ht="12.75" x14ac:dyDescent="0.35">
      <c r="E368" s="44"/>
    </row>
    <row r="369" spans="5:5" ht="12.75" x14ac:dyDescent="0.35">
      <c r="E369" s="44"/>
    </row>
    <row r="370" spans="5:5" ht="12.75" x14ac:dyDescent="0.35">
      <c r="E370" s="44"/>
    </row>
    <row r="371" spans="5:5" ht="12.75" x14ac:dyDescent="0.35">
      <c r="E371" s="44"/>
    </row>
    <row r="372" spans="5:5" ht="12.75" x14ac:dyDescent="0.35">
      <c r="E372" s="44"/>
    </row>
    <row r="373" spans="5:5" ht="12.75" x14ac:dyDescent="0.35">
      <c r="E373" s="44"/>
    </row>
    <row r="374" spans="5:5" ht="12.75" x14ac:dyDescent="0.35">
      <c r="E374" s="44"/>
    </row>
    <row r="375" spans="5:5" ht="12.75" x14ac:dyDescent="0.35">
      <c r="E375" s="44"/>
    </row>
    <row r="376" spans="5:5" ht="12.75" x14ac:dyDescent="0.35">
      <c r="E376" s="44"/>
    </row>
    <row r="377" spans="5:5" ht="12.75" x14ac:dyDescent="0.35">
      <c r="E377" s="44"/>
    </row>
    <row r="378" spans="5:5" ht="12.75" x14ac:dyDescent="0.35">
      <c r="E378" s="44"/>
    </row>
    <row r="379" spans="5:5" ht="12.75" x14ac:dyDescent="0.35">
      <c r="E379" s="44"/>
    </row>
    <row r="380" spans="5:5" ht="12.75" x14ac:dyDescent="0.35">
      <c r="E380" s="44"/>
    </row>
    <row r="381" spans="5:5" ht="12.75" x14ac:dyDescent="0.35">
      <c r="E381" s="44"/>
    </row>
    <row r="382" spans="5:5" ht="12.75" x14ac:dyDescent="0.35">
      <c r="E382" s="44"/>
    </row>
    <row r="383" spans="5:5" ht="12.75" x14ac:dyDescent="0.35">
      <c r="E383" s="44"/>
    </row>
    <row r="384" spans="5:5" ht="12.75" x14ac:dyDescent="0.35">
      <c r="E384" s="44"/>
    </row>
    <row r="385" spans="5:5" ht="12.75" x14ac:dyDescent="0.35">
      <c r="E385" s="44"/>
    </row>
    <row r="386" spans="5:5" ht="12.75" x14ac:dyDescent="0.35">
      <c r="E386" s="44"/>
    </row>
    <row r="387" spans="5:5" ht="12.75" x14ac:dyDescent="0.35">
      <c r="E387" s="44"/>
    </row>
    <row r="388" spans="5:5" ht="12.75" x14ac:dyDescent="0.35">
      <c r="E388" s="44"/>
    </row>
    <row r="389" spans="5:5" ht="12.75" x14ac:dyDescent="0.35">
      <c r="E389" s="44"/>
    </row>
    <row r="390" spans="5:5" ht="12.75" x14ac:dyDescent="0.35">
      <c r="E390" s="44"/>
    </row>
    <row r="391" spans="5:5" ht="12.75" x14ac:dyDescent="0.35">
      <c r="E391" s="44"/>
    </row>
    <row r="392" spans="5:5" ht="12.75" x14ac:dyDescent="0.35">
      <c r="E392" s="44"/>
    </row>
    <row r="393" spans="5:5" ht="12.75" x14ac:dyDescent="0.35">
      <c r="E393" s="44"/>
    </row>
    <row r="394" spans="5:5" ht="12.75" x14ac:dyDescent="0.35">
      <c r="E394" s="44"/>
    </row>
    <row r="395" spans="5:5" ht="12.75" x14ac:dyDescent="0.35">
      <c r="E395" s="44"/>
    </row>
    <row r="396" spans="5:5" ht="12.75" x14ac:dyDescent="0.35">
      <c r="E396" s="44"/>
    </row>
    <row r="397" spans="5:5" ht="12.75" x14ac:dyDescent="0.35">
      <c r="E397" s="44"/>
    </row>
    <row r="398" spans="5:5" ht="12.75" x14ac:dyDescent="0.35">
      <c r="E398" s="44"/>
    </row>
    <row r="399" spans="5:5" ht="12.75" x14ac:dyDescent="0.35">
      <c r="E399" s="44"/>
    </row>
    <row r="400" spans="5:5" ht="12.75" x14ac:dyDescent="0.35">
      <c r="E400" s="44"/>
    </row>
    <row r="401" spans="5:5" ht="12.75" x14ac:dyDescent="0.35">
      <c r="E401" s="44"/>
    </row>
    <row r="402" spans="5:5" ht="12.75" x14ac:dyDescent="0.35">
      <c r="E402" s="44"/>
    </row>
    <row r="403" spans="5:5" ht="12.75" x14ac:dyDescent="0.35">
      <c r="E403" s="44"/>
    </row>
    <row r="404" spans="5:5" ht="12.75" x14ac:dyDescent="0.35">
      <c r="E404" s="44"/>
    </row>
    <row r="405" spans="5:5" ht="12.75" x14ac:dyDescent="0.35">
      <c r="E405" s="44"/>
    </row>
    <row r="406" spans="5:5" ht="12.75" x14ac:dyDescent="0.35">
      <c r="E406" s="44"/>
    </row>
    <row r="407" spans="5:5" ht="12.75" x14ac:dyDescent="0.35">
      <c r="E407" s="44"/>
    </row>
    <row r="408" spans="5:5" ht="12.75" x14ac:dyDescent="0.35">
      <c r="E408" s="44"/>
    </row>
    <row r="409" spans="5:5" ht="12.75" x14ac:dyDescent="0.35">
      <c r="E409" s="44"/>
    </row>
    <row r="410" spans="5:5" ht="12.75" x14ac:dyDescent="0.35">
      <c r="E410" s="44"/>
    </row>
    <row r="411" spans="5:5" ht="12.75" x14ac:dyDescent="0.35">
      <c r="E411" s="44"/>
    </row>
    <row r="412" spans="5:5" ht="12.75" x14ac:dyDescent="0.35">
      <c r="E412" s="44"/>
    </row>
    <row r="413" spans="5:5" ht="12.75" x14ac:dyDescent="0.35">
      <c r="E413" s="44"/>
    </row>
    <row r="414" spans="5:5" ht="12.75" x14ac:dyDescent="0.35">
      <c r="E414" s="44"/>
    </row>
    <row r="415" spans="5:5" ht="12.75" x14ac:dyDescent="0.35">
      <c r="E415" s="44"/>
    </row>
    <row r="416" spans="5:5" ht="12.75" x14ac:dyDescent="0.35">
      <c r="E416" s="44"/>
    </row>
    <row r="417" spans="5:5" ht="12.75" x14ac:dyDescent="0.35">
      <c r="E417" s="44"/>
    </row>
    <row r="418" spans="5:5" ht="12.75" x14ac:dyDescent="0.35">
      <c r="E418" s="44"/>
    </row>
    <row r="419" spans="5:5" ht="12.75" x14ac:dyDescent="0.35">
      <c r="E419" s="44"/>
    </row>
    <row r="420" spans="5:5" ht="12.75" x14ac:dyDescent="0.35">
      <c r="E420" s="44"/>
    </row>
    <row r="421" spans="5:5" ht="12.75" x14ac:dyDescent="0.35">
      <c r="E421" s="44"/>
    </row>
    <row r="422" spans="5:5" ht="12.75" x14ac:dyDescent="0.35">
      <c r="E422" s="44"/>
    </row>
    <row r="423" spans="5:5" ht="12.75" x14ac:dyDescent="0.35">
      <c r="E423" s="44"/>
    </row>
    <row r="424" spans="5:5" ht="12.75" x14ac:dyDescent="0.35">
      <c r="E424" s="44"/>
    </row>
    <row r="425" spans="5:5" ht="12.75" x14ac:dyDescent="0.35">
      <c r="E425" s="44"/>
    </row>
    <row r="426" spans="5:5" ht="12.75" x14ac:dyDescent="0.35">
      <c r="E426" s="44"/>
    </row>
    <row r="427" spans="5:5" ht="12.75" x14ac:dyDescent="0.35">
      <c r="E427" s="44"/>
    </row>
    <row r="428" spans="5:5" ht="12.75" x14ac:dyDescent="0.35">
      <c r="E428" s="44"/>
    </row>
    <row r="429" spans="5:5" ht="12.75" x14ac:dyDescent="0.35">
      <c r="E429" s="44"/>
    </row>
    <row r="430" spans="5:5" ht="12.75" x14ac:dyDescent="0.35">
      <c r="E430" s="44"/>
    </row>
    <row r="431" spans="5:5" ht="12.75" x14ac:dyDescent="0.35">
      <c r="E431" s="44"/>
    </row>
    <row r="432" spans="5:5" ht="12.75" x14ac:dyDescent="0.35">
      <c r="E432" s="44"/>
    </row>
    <row r="433" spans="5:5" ht="12.75" x14ac:dyDescent="0.35">
      <c r="E433" s="44"/>
    </row>
    <row r="434" spans="5:5" ht="12.75" x14ac:dyDescent="0.35">
      <c r="E434" s="44"/>
    </row>
    <row r="435" spans="5:5" ht="12.75" x14ac:dyDescent="0.35">
      <c r="E435" s="44"/>
    </row>
    <row r="436" spans="5:5" ht="12.75" x14ac:dyDescent="0.35">
      <c r="E436" s="44"/>
    </row>
    <row r="437" spans="5:5" ht="12.75" x14ac:dyDescent="0.35">
      <c r="E437" s="44"/>
    </row>
    <row r="438" spans="5:5" ht="12.75" x14ac:dyDescent="0.35">
      <c r="E438" s="44"/>
    </row>
    <row r="439" spans="5:5" ht="12.75" x14ac:dyDescent="0.35">
      <c r="E439" s="44"/>
    </row>
    <row r="440" spans="5:5" ht="12.75" x14ac:dyDescent="0.35">
      <c r="E440" s="44"/>
    </row>
    <row r="441" spans="5:5" ht="12.75" x14ac:dyDescent="0.35">
      <c r="E441" s="44"/>
    </row>
    <row r="442" spans="5:5" ht="12.75" x14ac:dyDescent="0.35">
      <c r="E442" s="44"/>
    </row>
    <row r="443" spans="5:5" ht="12.75" x14ac:dyDescent="0.35">
      <c r="E443" s="44"/>
    </row>
    <row r="444" spans="5:5" ht="12.75" x14ac:dyDescent="0.35">
      <c r="E444" s="44"/>
    </row>
    <row r="445" spans="5:5" ht="12.75" x14ac:dyDescent="0.35">
      <c r="E445" s="44"/>
    </row>
    <row r="446" spans="5:5" ht="12.75" x14ac:dyDescent="0.35">
      <c r="E446" s="44"/>
    </row>
    <row r="447" spans="5:5" ht="12.75" x14ac:dyDescent="0.35">
      <c r="E447" s="44"/>
    </row>
    <row r="448" spans="5:5" ht="12.75" x14ac:dyDescent="0.35">
      <c r="E448" s="44"/>
    </row>
    <row r="449" spans="5:5" ht="12.75" x14ac:dyDescent="0.35">
      <c r="E449" s="44"/>
    </row>
    <row r="450" spans="5:5" ht="12.75" x14ac:dyDescent="0.35">
      <c r="E450" s="44"/>
    </row>
    <row r="451" spans="5:5" ht="12.75" x14ac:dyDescent="0.35">
      <c r="E451" s="44"/>
    </row>
    <row r="452" spans="5:5" ht="12.75" x14ac:dyDescent="0.35">
      <c r="E452" s="44"/>
    </row>
    <row r="453" spans="5:5" ht="12.75" x14ac:dyDescent="0.35">
      <c r="E453" s="44"/>
    </row>
    <row r="454" spans="5:5" ht="12.75" x14ac:dyDescent="0.35">
      <c r="E454" s="44"/>
    </row>
    <row r="455" spans="5:5" ht="12.75" x14ac:dyDescent="0.35">
      <c r="E455" s="44"/>
    </row>
    <row r="456" spans="5:5" ht="12.75" x14ac:dyDescent="0.35">
      <c r="E456" s="44"/>
    </row>
    <row r="457" spans="5:5" ht="12.75" x14ac:dyDescent="0.35">
      <c r="E457" s="44"/>
    </row>
    <row r="458" spans="5:5" ht="12.75" x14ac:dyDescent="0.35">
      <c r="E458" s="44"/>
    </row>
    <row r="459" spans="5:5" ht="12.75" x14ac:dyDescent="0.35">
      <c r="E459" s="44"/>
    </row>
    <row r="460" spans="5:5" ht="12.75" x14ac:dyDescent="0.35">
      <c r="E460" s="44"/>
    </row>
    <row r="461" spans="5:5" ht="12.75" x14ac:dyDescent="0.35">
      <c r="E461" s="44"/>
    </row>
    <row r="462" spans="5:5" ht="12.75" x14ac:dyDescent="0.35">
      <c r="E462" s="44"/>
    </row>
    <row r="463" spans="5:5" ht="12.75" x14ac:dyDescent="0.35">
      <c r="E463" s="44"/>
    </row>
    <row r="464" spans="5:5" ht="12.75" x14ac:dyDescent="0.35">
      <c r="E464" s="44"/>
    </row>
    <row r="465" spans="5:5" ht="12.75" x14ac:dyDescent="0.35">
      <c r="E465" s="44"/>
    </row>
    <row r="466" spans="5:5" ht="12.75" x14ac:dyDescent="0.35">
      <c r="E466" s="44"/>
    </row>
    <row r="467" spans="5:5" ht="12.75" x14ac:dyDescent="0.35">
      <c r="E467" s="44"/>
    </row>
    <row r="468" spans="5:5" ht="12.75" x14ac:dyDescent="0.35">
      <c r="E468" s="44"/>
    </row>
    <row r="469" spans="5:5" ht="12.75" x14ac:dyDescent="0.35">
      <c r="E469" s="44"/>
    </row>
    <row r="470" spans="5:5" ht="12.75" x14ac:dyDescent="0.35">
      <c r="E470" s="44"/>
    </row>
    <row r="471" spans="5:5" ht="12.75" x14ac:dyDescent="0.35">
      <c r="E471" s="44"/>
    </row>
    <row r="472" spans="5:5" ht="12.75" x14ac:dyDescent="0.35">
      <c r="E472" s="44"/>
    </row>
    <row r="473" spans="5:5" ht="12.75" x14ac:dyDescent="0.35">
      <c r="E473" s="44"/>
    </row>
    <row r="474" spans="5:5" ht="12.75" x14ac:dyDescent="0.35">
      <c r="E474" s="44"/>
    </row>
    <row r="475" spans="5:5" ht="12.75" x14ac:dyDescent="0.35">
      <c r="E475" s="44"/>
    </row>
    <row r="476" spans="5:5" ht="12.75" x14ac:dyDescent="0.35">
      <c r="E476" s="44"/>
    </row>
    <row r="477" spans="5:5" ht="12.75" x14ac:dyDescent="0.35">
      <c r="E477" s="44"/>
    </row>
    <row r="478" spans="5:5" ht="12.75" x14ac:dyDescent="0.35">
      <c r="E478" s="44"/>
    </row>
    <row r="479" spans="5:5" ht="12.75" x14ac:dyDescent="0.35">
      <c r="E479" s="44"/>
    </row>
    <row r="480" spans="5:5" ht="12.75" x14ac:dyDescent="0.35">
      <c r="E480" s="44"/>
    </row>
    <row r="481" spans="5:5" ht="12.75" x14ac:dyDescent="0.35">
      <c r="E481" s="44"/>
    </row>
    <row r="482" spans="5:5" ht="12.75" x14ac:dyDescent="0.35">
      <c r="E482" s="44"/>
    </row>
    <row r="483" spans="5:5" ht="12.75" x14ac:dyDescent="0.35">
      <c r="E483" s="44"/>
    </row>
    <row r="484" spans="5:5" ht="12.75" x14ac:dyDescent="0.35">
      <c r="E484" s="44"/>
    </row>
    <row r="485" spans="5:5" ht="12.75" x14ac:dyDescent="0.35">
      <c r="E485" s="44"/>
    </row>
    <row r="486" spans="5:5" ht="12.75" x14ac:dyDescent="0.35">
      <c r="E486" s="44"/>
    </row>
    <row r="487" spans="5:5" ht="12.75" x14ac:dyDescent="0.35">
      <c r="E487" s="44"/>
    </row>
    <row r="488" spans="5:5" ht="12.75" x14ac:dyDescent="0.35">
      <c r="E488" s="44"/>
    </row>
    <row r="489" spans="5:5" ht="12.75" x14ac:dyDescent="0.35">
      <c r="E489" s="44"/>
    </row>
    <row r="490" spans="5:5" ht="12.75" x14ac:dyDescent="0.35">
      <c r="E490" s="44"/>
    </row>
    <row r="491" spans="5:5" ht="12.75" x14ac:dyDescent="0.35">
      <c r="E491" s="44"/>
    </row>
    <row r="492" spans="5:5" ht="12.75" x14ac:dyDescent="0.35">
      <c r="E492" s="44"/>
    </row>
    <row r="493" spans="5:5" ht="12.75" x14ac:dyDescent="0.35">
      <c r="E493" s="44"/>
    </row>
    <row r="494" spans="5:5" ht="12.75" x14ac:dyDescent="0.35">
      <c r="E494" s="44"/>
    </row>
    <row r="495" spans="5:5" ht="12.75" x14ac:dyDescent="0.35">
      <c r="E495" s="44"/>
    </row>
    <row r="496" spans="5:5" ht="12.75" x14ac:dyDescent="0.35">
      <c r="E496" s="44"/>
    </row>
    <row r="497" spans="5:5" ht="12.75" x14ac:dyDescent="0.35">
      <c r="E497" s="44"/>
    </row>
    <row r="498" spans="5:5" ht="12.75" x14ac:dyDescent="0.35">
      <c r="E498" s="44"/>
    </row>
    <row r="499" spans="5:5" ht="12.75" x14ac:dyDescent="0.35">
      <c r="E499" s="44"/>
    </row>
    <row r="500" spans="5:5" ht="12.75" x14ac:dyDescent="0.35">
      <c r="E500" s="44"/>
    </row>
    <row r="501" spans="5:5" ht="12.75" x14ac:dyDescent="0.35">
      <c r="E501" s="44"/>
    </row>
    <row r="502" spans="5:5" ht="12.75" x14ac:dyDescent="0.35">
      <c r="E502" s="44"/>
    </row>
    <row r="503" spans="5:5" ht="12.75" x14ac:dyDescent="0.35">
      <c r="E503" s="44"/>
    </row>
    <row r="504" spans="5:5" ht="12.75" x14ac:dyDescent="0.35">
      <c r="E504" s="44"/>
    </row>
    <row r="505" spans="5:5" ht="12.75" x14ac:dyDescent="0.35">
      <c r="E505" s="44"/>
    </row>
    <row r="506" spans="5:5" ht="12.75" x14ac:dyDescent="0.35">
      <c r="E506" s="44"/>
    </row>
    <row r="507" spans="5:5" ht="12.75" x14ac:dyDescent="0.35">
      <c r="E507" s="44"/>
    </row>
    <row r="508" spans="5:5" ht="12.75" x14ac:dyDescent="0.35">
      <c r="E508" s="44"/>
    </row>
    <row r="509" spans="5:5" ht="12.75" x14ac:dyDescent="0.35">
      <c r="E509" s="44"/>
    </row>
    <row r="510" spans="5:5" ht="12.75" x14ac:dyDescent="0.35">
      <c r="E510" s="44"/>
    </row>
    <row r="511" spans="5:5" ht="12.75" x14ac:dyDescent="0.35">
      <c r="E511" s="44"/>
    </row>
    <row r="512" spans="5:5" ht="12.75" x14ac:dyDescent="0.35">
      <c r="E512" s="44"/>
    </row>
    <row r="513" spans="5:5" ht="12.75" x14ac:dyDescent="0.35">
      <c r="E513" s="44"/>
    </row>
    <row r="514" spans="5:5" ht="12.75" x14ac:dyDescent="0.35">
      <c r="E514" s="44"/>
    </row>
    <row r="515" spans="5:5" ht="12.75" x14ac:dyDescent="0.35">
      <c r="E515" s="44"/>
    </row>
    <row r="516" spans="5:5" ht="12.75" x14ac:dyDescent="0.35">
      <c r="E516" s="44"/>
    </row>
    <row r="517" spans="5:5" ht="12.75" x14ac:dyDescent="0.35">
      <c r="E517" s="44"/>
    </row>
    <row r="518" spans="5:5" ht="12.75" x14ac:dyDescent="0.35">
      <c r="E518" s="44"/>
    </row>
    <row r="519" spans="5:5" ht="12.75" x14ac:dyDescent="0.35">
      <c r="E519" s="44"/>
    </row>
    <row r="520" spans="5:5" ht="12.75" x14ac:dyDescent="0.35">
      <c r="E520" s="44"/>
    </row>
    <row r="521" spans="5:5" ht="12.75" x14ac:dyDescent="0.35">
      <c r="E521" s="44"/>
    </row>
    <row r="522" spans="5:5" ht="12.75" x14ac:dyDescent="0.35">
      <c r="E522" s="44"/>
    </row>
    <row r="523" spans="5:5" ht="12.75" x14ac:dyDescent="0.35">
      <c r="E523" s="44"/>
    </row>
    <row r="524" spans="5:5" ht="12.75" x14ac:dyDescent="0.35">
      <c r="E524" s="44"/>
    </row>
    <row r="525" spans="5:5" ht="12.75" x14ac:dyDescent="0.35">
      <c r="E525" s="44"/>
    </row>
    <row r="526" spans="5:5" ht="12.75" x14ac:dyDescent="0.35">
      <c r="E526" s="44"/>
    </row>
    <row r="527" spans="5:5" ht="12.75" x14ac:dyDescent="0.35">
      <c r="E527" s="44"/>
    </row>
    <row r="528" spans="5:5" ht="12.75" x14ac:dyDescent="0.35">
      <c r="E528" s="44"/>
    </row>
    <row r="529" spans="5:5" ht="12.75" x14ac:dyDescent="0.35">
      <c r="E529" s="44"/>
    </row>
    <row r="530" spans="5:5" ht="12.75" x14ac:dyDescent="0.35">
      <c r="E530" s="44"/>
    </row>
    <row r="531" spans="5:5" ht="12.75" x14ac:dyDescent="0.35">
      <c r="E531" s="44"/>
    </row>
    <row r="532" spans="5:5" ht="12.75" x14ac:dyDescent="0.35">
      <c r="E532" s="44"/>
    </row>
    <row r="533" spans="5:5" ht="12.75" x14ac:dyDescent="0.35">
      <c r="E533" s="44"/>
    </row>
    <row r="534" spans="5:5" ht="12.75" x14ac:dyDescent="0.35">
      <c r="E534" s="44"/>
    </row>
    <row r="535" spans="5:5" ht="12.75" x14ac:dyDescent="0.35">
      <c r="E535" s="44"/>
    </row>
    <row r="536" spans="5:5" ht="12.75" x14ac:dyDescent="0.35">
      <c r="E536" s="44"/>
    </row>
    <row r="537" spans="5:5" ht="12.75" x14ac:dyDescent="0.35">
      <c r="E537" s="44"/>
    </row>
    <row r="538" spans="5:5" ht="12.75" x14ac:dyDescent="0.35">
      <c r="E538" s="44"/>
    </row>
    <row r="539" spans="5:5" ht="12.75" x14ac:dyDescent="0.35">
      <c r="E539" s="44"/>
    </row>
    <row r="540" spans="5:5" ht="12.75" x14ac:dyDescent="0.35">
      <c r="E540" s="44"/>
    </row>
    <row r="541" spans="5:5" ht="12.75" x14ac:dyDescent="0.35">
      <c r="E541" s="44"/>
    </row>
    <row r="542" spans="5:5" ht="12.75" x14ac:dyDescent="0.35">
      <c r="E542" s="44"/>
    </row>
    <row r="543" spans="5:5" ht="12.75" x14ac:dyDescent="0.35">
      <c r="E543" s="44"/>
    </row>
    <row r="544" spans="5:5" ht="12.75" x14ac:dyDescent="0.35">
      <c r="E544" s="44"/>
    </row>
    <row r="545" spans="5:5" ht="12.75" x14ac:dyDescent="0.35">
      <c r="E545" s="44"/>
    </row>
    <row r="546" spans="5:5" ht="12.75" x14ac:dyDescent="0.35">
      <c r="E546" s="44"/>
    </row>
    <row r="547" spans="5:5" ht="12.75" x14ac:dyDescent="0.35">
      <c r="E547" s="44"/>
    </row>
    <row r="548" spans="5:5" ht="12.75" x14ac:dyDescent="0.35">
      <c r="E548" s="44"/>
    </row>
    <row r="549" spans="5:5" ht="12.75" x14ac:dyDescent="0.35">
      <c r="E549" s="44"/>
    </row>
    <row r="550" spans="5:5" ht="12.75" x14ac:dyDescent="0.35">
      <c r="E550" s="44"/>
    </row>
    <row r="551" spans="5:5" ht="12.75" x14ac:dyDescent="0.35">
      <c r="E551" s="44"/>
    </row>
    <row r="552" spans="5:5" ht="12.75" x14ac:dyDescent="0.35">
      <c r="E552" s="44"/>
    </row>
    <row r="553" spans="5:5" ht="12.75" x14ac:dyDescent="0.35">
      <c r="E553" s="44"/>
    </row>
    <row r="554" spans="5:5" ht="12.75" x14ac:dyDescent="0.35">
      <c r="E554" s="44"/>
    </row>
    <row r="555" spans="5:5" ht="12.75" x14ac:dyDescent="0.35">
      <c r="E555" s="44"/>
    </row>
    <row r="556" spans="5:5" ht="12.75" x14ac:dyDescent="0.35">
      <c r="E556" s="44"/>
    </row>
    <row r="557" spans="5:5" ht="12.75" x14ac:dyDescent="0.35">
      <c r="E557" s="44"/>
    </row>
    <row r="558" spans="5:5" ht="12.75" x14ac:dyDescent="0.35">
      <c r="E558" s="44"/>
    </row>
    <row r="559" spans="5:5" ht="12.75" x14ac:dyDescent="0.35">
      <c r="E559" s="44"/>
    </row>
    <row r="560" spans="5:5" ht="12.75" x14ac:dyDescent="0.35">
      <c r="E560" s="44"/>
    </row>
    <row r="561" spans="5:5" ht="12.75" x14ac:dyDescent="0.35">
      <c r="E561" s="44"/>
    </row>
    <row r="562" spans="5:5" ht="12.75" x14ac:dyDescent="0.35">
      <c r="E562" s="44"/>
    </row>
    <row r="563" spans="5:5" ht="12.75" x14ac:dyDescent="0.35">
      <c r="E563" s="44"/>
    </row>
    <row r="564" spans="5:5" ht="12.75" x14ac:dyDescent="0.35">
      <c r="E564" s="44"/>
    </row>
    <row r="565" spans="5:5" ht="12.75" x14ac:dyDescent="0.35">
      <c r="E565" s="44"/>
    </row>
    <row r="566" spans="5:5" ht="12.75" x14ac:dyDescent="0.35">
      <c r="E566" s="44"/>
    </row>
    <row r="567" spans="5:5" ht="12.75" x14ac:dyDescent="0.35">
      <c r="E567" s="44"/>
    </row>
    <row r="568" spans="5:5" ht="12.75" x14ac:dyDescent="0.35">
      <c r="E568" s="44"/>
    </row>
    <row r="569" spans="5:5" ht="12.75" x14ac:dyDescent="0.35">
      <c r="E569" s="44"/>
    </row>
    <row r="570" spans="5:5" ht="12.75" x14ac:dyDescent="0.35">
      <c r="E570" s="44"/>
    </row>
    <row r="571" spans="5:5" ht="12.75" x14ac:dyDescent="0.35">
      <c r="E571" s="44"/>
    </row>
    <row r="572" spans="5:5" ht="12.75" x14ac:dyDescent="0.35">
      <c r="E572" s="44"/>
    </row>
    <row r="573" spans="5:5" ht="12.75" x14ac:dyDescent="0.35">
      <c r="E573" s="44"/>
    </row>
    <row r="574" spans="5:5" ht="12.75" x14ac:dyDescent="0.35">
      <c r="E574" s="44"/>
    </row>
    <row r="575" spans="5:5" ht="12.75" x14ac:dyDescent="0.35">
      <c r="E575" s="44"/>
    </row>
    <row r="576" spans="5:5" ht="12.75" x14ac:dyDescent="0.35">
      <c r="E576" s="44"/>
    </row>
    <row r="577" spans="5:5" ht="12.75" x14ac:dyDescent="0.35">
      <c r="E577" s="44"/>
    </row>
    <row r="578" spans="5:5" ht="12.75" x14ac:dyDescent="0.35">
      <c r="E578" s="44"/>
    </row>
    <row r="579" spans="5:5" ht="12.75" x14ac:dyDescent="0.35">
      <c r="E579" s="44"/>
    </row>
    <row r="580" spans="5:5" ht="12.75" x14ac:dyDescent="0.35">
      <c r="E580" s="44"/>
    </row>
    <row r="581" spans="5:5" ht="12.75" x14ac:dyDescent="0.35">
      <c r="E581" s="44"/>
    </row>
    <row r="582" spans="5:5" ht="12.75" x14ac:dyDescent="0.35">
      <c r="E582" s="44"/>
    </row>
    <row r="583" spans="5:5" ht="12.75" x14ac:dyDescent="0.35">
      <c r="E583" s="44"/>
    </row>
    <row r="584" spans="5:5" ht="12.75" x14ac:dyDescent="0.35">
      <c r="E584" s="44"/>
    </row>
    <row r="585" spans="5:5" ht="12.75" x14ac:dyDescent="0.35">
      <c r="E585" s="44"/>
    </row>
    <row r="586" spans="5:5" ht="12.75" x14ac:dyDescent="0.35">
      <c r="E586" s="44"/>
    </row>
    <row r="587" spans="5:5" ht="12.75" x14ac:dyDescent="0.35">
      <c r="E587" s="44"/>
    </row>
    <row r="588" spans="5:5" ht="12.75" x14ac:dyDescent="0.35">
      <c r="E588" s="44"/>
    </row>
    <row r="589" spans="5:5" ht="12.75" x14ac:dyDescent="0.35">
      <c r="E589" s="44"/>
    </row>
    <row r="590" spans="5:5" ht="12.75" x14ac:dyDescent="0.35">
      <c r="E590" s="44"/>
    </row>
    <row r="591" spans="5:5" ht="12.75" x14ac:dyDescent="0.35">
      <c r="E591" s="44"/>
    </row>
    <row r="592" spans="5:5" ht="12.75" x14ac:dyDescent="0.35">
      <c r="E592" s="44"/>
    </row>
    <row r="593" spans="5:5" ht="12.75" x14ac:dyDescent="0.35">
      <c r="E593" s="44"/>
    </row>
    <row r="594" spans="5:5" ht="12.75" x14ac:dyDescent="0.35">
      <c r="E594" s="44"/>
    </row>
    <row r="595" spans="5:5" ht="12.75" x14ac:dyDescent="0.35">
      <c r="E595" s="44"/>
    </row>
    <row r="596" spans="5:5" ht="12.75" x14ac:dyDescent="0.35">
      <c r="E596" s="44"/>
    </row>
    <row r="597" spans="5:5" ht="12.75" x14ac:dyDescent="0.35">
      <c r="E597" s="44"/>
    </row>
    <row r="598" spans="5:5" ht="12.75" x14ac:dyDescent="0.35">
      <c r="E598" s="44"/>
    </row>
    <row r="599" spans="5:5" ht="12.75" x14ac:dyDescent="0.35">
      <c r="E599" s="44"/>
    </row>
    <row r="600" spans="5:5" ht="12.75" x14ac:dyDescent="0.35">
      <c r="E600" s="44"/>
    </row>
    <row r="601" spans="5:5" ht="12.75" x14ac:dyDescent="0.35">
      <c r="E601" s="44"/>
    </row>
    <row r="602" spans="5:5" ht="12.75" x14ac:dyDescent="0.35">
      <c r="E602" s="44"/>
    </row>
    <row r="603" spans="5:5" ht="12.75" x14ac:dyDescent="0.35">
      <c r="E603" s="44"/>
    </row>
    <row r="604" spans="5:5" ht="12.75" x14ac:dyDescent="0.35">
      <c r="E604" s="44"/>
    </row>
    <row r="605" spans="5:5" ht="12.75" x14ac:dyDescent="0.35">
      <c r="E605" s="44"/>
    </row>
    <row r="606" spans="5:5" ht="12.75" x14ac:dyDescent="0.35">
      <c r="E606" s="44"/>
    </row>
    <row r="607" spans="5:5" ht="12.75" x14ac:dyDescent="0.35">
      <c r="E607" s="44"/>
    </row>
    <row r="608" spans="5:5" ht="12.75" x14ac:dyDescent="0.35">
      <c r="E608" s="44"/>
    </row>
    <row r="609" spans="5:5" ht="12.75" x14ac:dyDescent="0.35">
      <c r="E609" s="44"/>
    </row>
    <row r="610" spans="5:5" ht="12.75" x14ac:dyDescent="0.35">
      <c r="E610" s="44"/>
    </row>
    <row r="611" spans="5:5" ht="12.75" x14ac:dyDescent="0.35">
      <c r="E611" s="44"/>
    </row>
    <row r="612" spans="5:5" ht="12.75" x14ac:dyDescent="0.35">
      <c r="E612" s="44"/>
    </row>
    <row r="613" spans="5:5" ht="12.75" x14ac:dyDescent="0.35">
      <c r="E613" s="44"/>
    </row>
    <row r="614" spans="5:5" ht="12.75" x14ac:dyDescent="0.35">
      <c r="E614" s="44"/>
    </row>
    <row r="615" spans="5:5" ht="12.75" x14ac:dyDescent="0.35">
      <c r="E615" s="44"/>
    </row>
    <row r="616" spans="5:5" ht="12.75" x14ac:dyDescent="0.35">
      <c r="E616" s="44"/>
    </row>
    <row r="617" spans="5:5" ht="12.75" x14ac:dyDescent="0.35">
      <c r="E617" s="44"/>
    </row>
    <row r="618" spans="5:5" ht="12.75" x14ac:dyDescent="0.35">
      <c r="E618" s="44"/>
    </row>
    <row r="619" spans="5:5" ht="12.75" x14ac:dyDescent="0.35">
      <c r="E619" s="44"/>
    </row>
    <row r="620" spans="5:5" ht="12.75" x14ac:dyDescent="0.35">
      <c r="E620" s="44"/>
    </row>
    <row r="621" spans="5:5" ht="12.75" x14ac:dyDescent="0.35">
      <c r="E621" s="44"/>
    </row>
    <row r="622" spans="5:5" ht="12.75" x14ac:dyDescent="0.35">
      <c r="E622" s="44"/>
    </row>
    <row r="623" spans="5:5" ht="12.75" x14ac:dyDescent="0.35">
      <c r="E623" s="44"/>
    </row>
    <row r="624" spans="5:5" ht="12.75" x14ac:dyDescent="0.35">
      <c r="E624" s="44"/>
    </row>
    <row r="625" spans="5:5" ht="12.75" x14ac:dyDescent="0.35">
      <c r="E625" s="44"/>
    </row>
    <row r="626" spans="5:5" ht="12.75" x14ac:dyDescent="0.35">
      <c r="E626" s="44"/>
    </row>
    <row r="627" spans="5:5" ht="12.75" x14ac:dyDescent="0.35">
      <c r="E627" s="44"/>
    </row>
    <row r="628" spans="5:5" ht="12.75" x14ac:dyDescent="0.35">
      <c r="E628" s="44"/>
    </row>
    <row r="629" spans="5:5" ht="12.75" x14ac:dyDescent="0.35">
      <c r="E629" s="44"/>
    </row>
    <row r="630" spans="5:5" ht="12.75" x14ac:dyDescent="0.35">
      <c r="E630" s="44"/>
    </row>
    <row r="631" spans="5:5" ht="12.75" x14ac:dyDescent="0.35">
      <c r="E631" s="44"/>
    </row>
    <row r="632" spans="5:5" ht="12.75" x14ac:dyDescent="0.35">
      <c r="E632" s="44"/>
    </row>
    <row r="633" spans="5:5" ht="12.75" x14ac:dyDescent="0.35">
      <c r="E633" s="44"/>
    </row>
    <row r="634" spans="5:5" ht="12.75" x14ac:dyDescent="0.35">
      <c r="E634" s="44"/>
    </row>
    <row r="635" spans="5:5" ht="12.75" x14ac:dyDescent="0.35">
      <c r="E635" s="44"/>
    </row>
    <row r="636" spans="5:5" ht="12.75" x14ac:dyDescent="0.35">
      <c r="E636" s="44"/>
    </row>
    <row r="637" spans="5:5" ht="12.75" x14ac:dyDescent="0.35">
      <c r="E637" s="44"/>
    </row>
    <row r="638" spans="5:5" ht="12.75" x14ac:dyDescent="0.35">
      <c r="E638" s="44"/>
    </row>
    <row r="639" spans="5:5" ht="12.75" x14ac:dyDescent="0.35">
      <c r="E639" s="44"/>
    </row>
    <row r="640" spans="5:5" ht="12.75" x14ac:dyDescent="0.35">
      <c r="E640" s="44"/>
    </row>
    <row r="641" spans="5:5" ht="12.75" x14ac:dyDescent="0.35">
      <c r="E641" s="44"/>
    </row>
    <row r="642" spans="5:5" ht="12.75" x14ac:dyDescent="0.35">
      <c r="E642" s="44"/>
    </row>
    <row r="643" spans="5:5" ht="12.75" x14ac:dyDescent="0.35">
      <c r="E643" s="44"/>
    </row>
    <row r="644" spans="5:5" ht="12.75" x14ac:dyDescent="0.35">
      <c r="E644" s="44"/>
    </row>
    <row r="645" spans="5:5" ht="12.75" x14ac:dyDescent="0.35">
      <c r="E645" s="44"/>
    </row>
    <row r="646" spans="5:5" ht="12.75" x14ac:dyDescent="0.35">
      <c r="E646" s="44"/>
    </row>
    <row r="647" spans="5:5" ht="12.75" x14ac:dyDescent="0.35">
      <c r="E647" s="44"/>
    </row>
    <row r="648" spans="5:5" ht="12.75" x14ac:dyDescent="0.35">
      <c r="E648" s="44"/>
    </row>
    <row r="649" spans="5:5" ht="12.75" x14ac:dyDescent="0.35">
      <c r="E649" s="44"/>
    </row>
    <row r="650" spans="5:5" ht="12.75" x14ac:dyDescent="0.35">
      <c r="E650" s="44"/>
    </row>
    <row r="651" spans="5:5" ht="12.75" x14ac:dyDescent="0.35">
      <c r="E651" s="44"/>
    </row>
    <row r="652" spans="5:5" ht="12.75" x14ac:dyDescent="0.35">
      <c r="E652" s="44"/>
    </row>
    <row r="653" spans="5:5" ht="12.75" x14ac:dyDescent="0.35">
      <c r="E653" s="44"/>
    </row>
    <row r="654" spans="5:5" ht="12.75" x14ac:dyDescent="0.35">
      <c r="E654" s="44"/>
    </row>
    <row r="655" spans="5:5" ht="12.75" x14ac:dyDescent="0.35">
      <c r="E655" s="44"/>
    </row>
    <row r="656" spans="5:5" ht="12.75" x14ac:dyDescent="0.35">
      <c r="E656" s="44"/>
    </row>
    <row r="657" spans="5:5" ht="12.75" x14ac:dyDescent="0.35">
      <c r="E657" s="44"/>
    </row>
    <row r="658" spans="5:5" ht="12.75" x14ac:dyDescent="0.35">
      <c r="E658" s="44"/>
    </row>
    <row r="659" spans="5:5" ht="12.75" x14ac:dyDescent="0.35">
      <c r="E659" s="44"/>
    </row>
    <row r="660" spans="5:5" ht="12.75" x14ac:dyDescent="0.35">
      <c r="E660" s="44"/>
    </row>
    <row r="661" spans="5:5" ht="12.75" x14ac:dyDescent="0.35">
      <c r="E661" s="44"/>
    </row>
    <row r="662" spans="5:5" ht="12.75" x14ac:dyDescent="0.35">
      <c r="E662" s="44"/>
    </row>
    <row r="663" spans="5:5" ht="12.75" x14ac:dyDescent="0.35">
      <c r="E663" s="44"/>
    </row>
    <row r="664" spans="5:5" ht="12.75" x14ac:dyDescent="0.35">
      <c r="E664" s="44"/>
    </row>
    <row r="665" spans="5:5" ht="12.75" x14ac:dyDescent="0.35">
      <c r="E665" s="44"/>
    </row>
    <row r="666" spans="5:5" ht="12.75" x14ac:dyDescent="0.35">
      <c r="E666" s="44"/>
    </row>
    <row r="667" spans="5:5" ht="12.75" x14ac:dyDescent="0.35">
      <c r="E667" s="44"/>
    </row>
    <row r="668" spans="5:5" ht="12.75" x14ac:dyDescent="0.35">
      <c r="E668" s="44"/>
    </row>
    <row r="669" spans="5:5" ht="12.75" x14ac:dyDescent="0.35">
      <c r="E669" s="44"/>
    </row>
    <row r="670" spans="5:5" ht="12.75" x14ac:dyDescent="0.35">
      <c r="E670" s="44"/>
    </row>
    <row r="671" spans="5:5" ht="12.75" x14ac:dyDescent="0.35">
      <c r="E671" s="44"/>
    </row>
    <row r="672" spans="5:5" ht="12.75" x14ac:dyDescent="0.35">
      <c r="E672" s="44"/>
    </row>
    <row r="673" spans="5:5" ht="12.75" x14ac:dyDescent="0.35">
      <c r="E673" s="44"/>
    </row>
    <row r="674" spans="5:5" ht="12.75" x14ac:dyDescent="0.35">
      <c r="E674" s="44"/>
    </row>
    <row r="675" spans="5:5" ht="12.75" x14ac:dyDescent="0.35">
      <c r="E675" s="44"/>
    </row>
    <row r="676" spans="5:5" ht="12.75" x14ac:dyDescent="0.35">
      <c r="E676" s="44"/>
    </row>
    <row r="677" spans="5:5" ht="12.75" x14ac:dyDescent="0.35">
      <c r="E677" s="44"/>
    </row>
    <row r="678" spans="5:5" ht="12.75" x14ac:dyDescent="0.35">
      <c r="E678" s="44"/>
    </row>
    <row r="679" spans="5:5" ht="12.75" x14ac:dyDescent="0.35">
      <c r="E679" s="44"/>
    </row>
    <row r="680" spans="5:5" ht="12.75" x14ac:dyDescent="0.35">
      <c r="E680" s="44"/>
    </row>
    <row r="681" spans="5:5" ht="12.75" x14ac:dyDescent="0.35">
      <c r="E681" s="44"/>
    </row>
    <row r="682" spans="5:5" ht="12.75" x14ac:dyDescent="0.35">
      <c r="E682" s="44"/>
    </row>
    <row r="683" spans="5:5" ht="12.75" x14ac:dyDescent="0.35">
      <c r="E683" s="44"/>
    </row>
    <row r="684" spans="5:5" ht="12.75" x14ac:dyDescent="0.35">
      <c r="E684" s="44"/>
    </row>
    <row r="685" spans="5:5" ht="12.75" x14ac:dyDescent="0.35">
      <c r="E685" s="44"/>
    </row>
    <row r="686" spans="5:5" ht="12.75" x14ac:dyDescent="0.35">
      <c r="E686" s="44"/>
    </row>
    <row r="687" spans="5:5" ht="12.75" x14ac:dyDescent="0.35">
      <c r="E687" s="44"/>
    </row>
    <row r="688" spans="5:5" ht="12.75" x14ac:dyDescent="0.35">
      <c r="E688" s="44"/>
    </row>
    <row r="689" spans="5:5" ht="12.75" x14ac:dyDescent="0.35">
      <c r="E689" s="44"/>
    </row>
    <row r="690" spans="5:5" ht="12.75" x14ac:dyDescent="0.35">
      <c r="E690" s="44"/>
    </row>
    <row r="691" spans="5:5" ht="12.75" x14ac:dyDescent="0.35">
      <c r="E691" s="44"/>
    </row>
    <row r="692" spans="5:5" ht="12.75" x14ac:dyDescent="0.35">
      <c r="E692" s="44"/>
    </row>
    <row r="693" spans="5:5" ht="12.75" x14ac:dyDescent="0.35">
      <c r="E693" s="44"/>
    </row>
    <row r="694" spans="5:5" ht="12.75" x14ac:dyDescent="0.35">
      <c r="E694" s="44"/>
    </row>
    <row r="695" spans="5:5" ht="12.75" x14ac:dyDescent="0.35">
      <c r="E695" s="44"/>
    </row>
    <row r="696" spans="5:5" ht="12.75" x14ac:dyDescent="0.35">
      <c r="E696" s="44"/>
    </row>
    <row r="697" spans="5:5" ht="12.75" x14ac:dyDescent="0.35">
      <c r="E697" s="44"/>
    </row>
    <row r="698" spans="5:5" ht="12.75" x14ac:dyDescent="0.35">
      <c r="E698" s="44"/>
    </row>
    <row r="699" spans="5:5" ht="12.75" x14ac:dyDescent="0.35">
      <c r="E699" s="44"/>
    </row>
    <row r="700" spans="5:5" ht="12.75" x14ac:dyDescent="0.35">
      <c r="E700" s="44"/>
    </row>
    <row r="701" spans="5:5" ht="12.75" x14ac:dyDescent="0.35">
      <c r="E701" s="44"/>
    </row>
    <row r="702" spans="5:5" ht="12.75" x14ac:dyDescent="0.35">
      <c r="E702" s="44"/>
    </row>
    <row r="703" spans="5:5" ht="12.75" x14ac:dyDescent="0.35">
      <c r="E703" s="44"/>
    </row>
    <row r="704" spans="5:5" ht="12.75" x14ac:dyDescent="0.35">
      <c r="E704" s="44"/>
    </row>
    <row r="705" spans="5:5" ht="12.75" x14ac:dyDescent="0.35">
      <c r="E705" s="44"/>
    </row>
    <row r="706" spans="5:5" ht="12.75" x14ac:dyDescent="0.35">
      <c r="E706" s="44"/>
    </row>
    <row r="707" spans="5:5" ht="12.75" x14ac:dyDescent="0.35">
      <c r="E707" s="44"/>
    </row>
    <row r="708" spans="5:5" ht="12.75" x14ac:dyDescent="0.35">
      <c r="E708" s="44"/>
    </row>
    <row r="709" spans="5:5" ht="12.75" x14ac:dyDescent="0.35">
      <c r="E709" s="44"/>
    </row>
    <row r="710" spans="5:5" ht="12.75" x14ac:dyDescent="0.35">
      <c r="E710" s="44"/>
    </row>
    <row r="711" spans="5:5" ht="12.75" x14ac:dyDescent="0.35">
      <c r="E711" s="44"/>
    </row>
    <row r="712" spans="5:5" ht="12.75" x14ac:dyDescent="0.35">
      <c r="E712" s="44"/>
    </row>
    <row r="713" spans="5:5" ht="12.75" x14ac:dyDescent="0.35">
      <c r="E713" s="44"/>
    </row>
    <row r="714" spans="5:5" ht="12.75" x14ac:dyDescent="0.35">
      <c r="E714" s="44"/>
    </row>
    <row r="715" spans="5:5" ht="12.75" x14ac:dyDescent="0.35">
      <c r="E715" s="44"/>
    </row>
    <row r="716" spans="5:5" ht="12.75" x14ac:dyDescent="0.35">
      <c r="E716" s="44"/>
    </row>
    <row r="717" spans="5:5" ht="12.75" x14ac:dyDescent="0.35">
      <c r="E717" s="44"/>
    </row>
    <row r="718" spans="5:5" ht="12.75" x14ac:dyDescent="0.35">
      <c r="E718" s="44"/>
    </row>
    <row r="719" spans="5:5" ht="12.75" x14ac:dyDescent="0.35">
      <c r="E719" s="44"/>
    </row>
    <row r="720" spans="5:5" ht="12.75" x14ac:dyDescent="0.35">
      <c r="E720" s="44"/>
    </row>
    <row r="721" spans="5:5" ht="12.75" x14ac:dyDescent="0.35">
      <c r="E721" s="44"/>
    </row>
    <row r="722" spans="5:5" ht="12.75" x14ac:dyDescent="0.35">
      <c r="E722" s="44"/>
    </row>
    <row r="723" spans="5:5" ht="12.75" x14ac:dyDescent="0.35">
      <c r="E723" s="44"/>
    </row>
    <row r="724" spans="5:5" ht="12.75" x14ac:dyDescent="0.35">
      <c r="E724" s="44"/>
    </row>
    <row r="725" spans="5:5" ht="12.75" x14ac:dyDescent="0.35">
      <c r="E725" s="44"/>
    </row>
    <row r="726" spans="5:5" ht="12.75" x14ac:dyDescent="0.35">
      <c r="E726" s="44"/>
    </row>
    <row r="727" spans="5:5" ht="12.75" x14ac:dyDescent="0.35">
      <c r="E727" s="44"/>
    </row>
    <row r="728" spans="5:5" ht="12.75" x14ac:dyDescent="0.35">
      <c r="E728" s="44"/>
    </row>
    <row r="729" spans="5:5" ht="12.75" x14ac:dyDescent="0.35">
      <c r="E729" s="44"/>
    </row>
    <row r="730" spans="5:5" ht="12.75" x14ac:dyDescent="0.35">
      <c r="E730" s="44"/>
    </row>
    <row r="731" spans="5:5" ht="12.75" x14ac:dyDescent="0.35">
      <c r="E731" s="44"/>
    </row>
    <row r="732" spans="5:5" ht="12.75" x14ac:dyDescent="0.35">
      <c r="E732" s="44"/>
    </row>
    <row r="733" spans="5:5" ht="12.75" x14ac:dyDescent="0.35">
      <c r="E733" s="44"/>
    </row>
    <row r="734" spans="5:5" ht="12.75" x14ac:dyDescent="0.35">
      <c r="E734" s="44"/>
    </row>
    <row r="735" spans="5:5" ht="12.75" x14ac:dyDescent="0.35">
      <c r="E735" s="44"/>
    </row>
    <row r="736" spans="5:5" ht="12.75" x14ac:dyDescent="0.35">
      <c r="E736" s="44"/>
    </row>
    <row r="737" spans="5:5" ht="12.75" x14ac:dyDescent="0.35">
      <c r="E737" s="44"/>
    </row>
    <row r="738" spans="5:5" ht="12.75" x14ac:dyDescent="0.35">
      <c r="E738" s="44"/>
    </row>
    <row r="739" spans="5:5" ht="12.75" x14ac:dyDescent="0.35">
      <c r="E739" s="44"/>
    </row>
    <row r="740" spans="5:5" ht="12.75" x14ac:dyDescent="0.35">
      <c r="E740" s="44"/>
    </row>
    <row r="741" spans="5:5" ht="12.75" x14ac:dyDescent="0.35">
      <c r="E741" s="44"/>
    </row>
    <row r="742" spans="5:5" ht="12.75" x14ac:dyDescent="0.35">
      <c r="E742" s="44"/>
    </row>
    <row r="743" spans="5:5" ht="12.75" x14ac:dyDescent="0.35">
      <c r="E743" s="44"/>
    </row>
    <row r="744" spans="5:5" ht="12.75" x14ac:dyDescent="0.35">
      <c r="E744" s="44"/>
    </row>
    <row r="745" spans="5:5" ht="12.75" x14ac:dyDescent="0.35">
      <c r="E745" s="44"/>
    </row>
    <row r="746" spans="5:5" ht="12.75" x14ac:dyDescent="0.35">
      <c r="E746" s="44"/>
    </row>
    <row r="747" spans="5:5" ht="12.75" x14ac:dyDescent="0.35">
      <c r="E747" s="44"/>
    </row>
    <row r="748" spans="5:5" ht="12.75" x14ac:dyDescent="0.35">
      <c r="E748" s="44"/>
    </row>
    <row r="749" spans="5:5" ht="12.75" x14ac:dyDescent="0.35">
      <c r="E749" s="44"/>
    </row>
    <row r="750" spans="5:5" ht="12.75" x14ac:dyDescent="0.35">
      <c r="E750" s="44"/>
    </row>
    <row r="751" spans="5:5" ht="12.75" x14ac:dyDescent="0.35">
      <c r="E751" s="44"/>
    </row>
    <row r="752" spans="5:5" ht="12.75" x14ac:dyDescent="0.35">
      <c r="E752" s="44"/>
    </row>
    <row r="753" spans="5:5" ht="12.75" x14ac:dyDescent="0.35">
      <c r="E753" s="44"/>
    </row>
    <row r="754" spans="5:5" ht="12.75" x14ac:dyDescent="0.35">
      <c r="E754" s="44"/>
    </row>
    <row r="755" spans="5:5" ht="12.75" x14ac:dyDescent="0.35">
      <c r="E755" s="44"/>
    </row>
    <row r="756" spans="5:5" ht="12.75" x14ac:dyDescent="0.35">
      <c r="E756" s="44"/>
    </row>
    <row r="757" spans="5:5" ht="12.75" x14ac:dyDescent="0.35">
      <c r="E757" s="44"/>
    </row>
    <row r="758" spans="5:5" ht="12.75" x14ac:dyDescent="0.35">
      <c r="E758" s="44"/>
    </row>
    <row r="759" spans="5:5" ht="12.75" x14ac:dyDescent="0.35">
      <c r="E759" s="44"/>
    </row>
    <row r="760" spans="5:5" ht="12.75" x14ac:dyDescent="0.35">
      <c r="E760" s="44"/>
    </row>
    <row r="761" spans="5:5" ht="12.75" x14ac:dyDescent="0.35">
      <c r="E761" s="44"/>
    </row>
    <row r="762" spans="5:5" ht="12.75" x14ac:dyDescent="0.35">
      <c r="E762" s="44"/>
    </row>
    <row r="763" spans="5:5" ht="12.75" x14ac:dyDescent="0.35">
      <c r="E763" s="44"/>
    </row>
    <row r="764" spans="5:5" ht="12.75" x14ac:dyDescent="0.35">
      <c r="E764" s="44"/>
    </row>
    <row r="765" spans="5:5" ht="12.75" x14ac:dyDescent="0.35">
      <c r="E765" s="44"/>
    </row>
    <row r="766" spans="5:5" ht="12.75" x14ac:dyDescent="0.35">
      <c r="E766" s="44"/>
    </row>
    <row r="767" spans="5:5" ht="12.75" x14ac:dyDescent="0.35">
      <c r="E767" s="44"/>
    </row>
    <row r="768" spans="5:5" ht="12.75" x14ac:dyDescent="0.35">
      <c r="E768" s="44"/>
    </row>
    <row r="769" spans="5:5" ht="12.75" x14ac:dyDescent="0.35">
      <c r="E769" s="44"/>
    </row>
    <row r="770" spans="5:5" ht="12.75" x14ac:dyDescent="0.35">
      <c r="E770" s="44"/>
    </row>
    <row r="771" spans="5:5" ht="12.75" x14ac:dyDescent="0.35">
      <c r="E771" s="44"/>
    </row>
    <row r="772" spans="5:5" ht="12.75" x14ac:dyDescent="0.35">
      <c r="E772" s="44"/>
    </row>
    <row r="773" spans="5:5" ht="12.75" x14ac:dyDescent="0.35">
      <c r="E773" s="44"/>
    </row>
    <row r="774" spans="5:5" ht="12.75" x14ac:dyDescent="0.35">
      <c r="E774" s="44"/>
    </row>
    <row r="775" spans="5:5" ht="12.75" x14ac:dyDescent="0.35">
      <c r="E775" s="44"/>
    </row>
    <row r="776" spans="5:5" ht="12.75" x14ac:dyDescent="0.35">
      <c r="E776" s="44"/>
    </row>
    <row r="777" spans="5:5" ht="12.75" x14ac:dyDescent="0.35">
      <c r="E777" s="44"/>
    </row>
    <row r="778" spans="5:5" ht="12.75" x14ac:dyDescent="0.35">
      <c r="E778" s="44"/>
    </row>
    <row r="779" spans="5:5" ht="12.75" x14ac:dyDescent="0.35">
      <c r="E779" s="44"/>
    </row>
    <row r="780" spans="5:5" ht="12.75" x14ac:dyDescent="0.35">
      <c r="E780" s="44"/>
    </row>
    <row r="781" spans="5:5" ht="12.75" x14ac:dyDescent="0.35">
      <c r="E781" s="44"/>
    </row>
    <row r="782" spans="5:5" ht="12.75" x14ac:dyDescent="0.35">
      <c r="E782" s="44"/>
    </row>
    <row r="783" spans="5:5" ht="12.75" x14ac:dyDescent="0.35">
      <c r="E783" s="44"/>
    </row>
    <row r="784" spans="5:5" ht="12.75" x14ac:dyDescent="0.35">
      <c r="E784" s="44"/>
    </row>
    <row r="785" spans="5:5" ht="12.75" x14ac:dyDescent="0.35">
      <c r="E785" s="44"/>
    </row>
    <row r="786" spans="5:5" ht="12.75" x14ac:dyDescent="0.35">
      <c r="E786" s="44"/>
    </row>
    <row r="787" spans="5:5" ht="12.75" x14ac:dyDescent="0.35">
      <c r="E787" s="44"/>
    </row>
    <row r="788" spans="5:5" ht="12.75" x14ac:dyDescent="0.35">
      <c r="E788" s="44"/>
    </row>
    <row r="789" spans="5:5" ht="12.75" x14ac:dyDescent="0.35">
      <c r="E789" s="44"/>
    </row>
    <row r="790" spans="5:5" ht="12.75" x14ac:dyDescent="0.35">
      <c r="E790" s="44"/>
    </row>
    <row r="791" spans="5:5" ht="12.75" x14ac:dyDescent="0.35">
      <c r="E791" s="44"/>
    </row>
    <row r="792" spans="5:5" ht="12.75" x14ac:dyDescent="0.35">
      <c r="E792" s="44"/>
    </row>
    <row r="793" spans="5:5" ht="12.75" x14ac:dyDescent="0.35">
      <c r="E793" s="44"/>
    </row>
    <row r="794" spans="5:5" ht="12.75" x14ac:dyDescent="0.35">
      <c r="E794" s="44"/>
    </row>
    <row r="795" spans="5:5" ht="12.75" x14ac:dyDescent="0.35">
      <c r="E795" s="44"/>
    </row>
    <row r="796" spans="5:5" ht="12.75" x14ac:dyDescent="0.35">
      <c r="E796" s="44"/>
    </row>
    <row r="797" spans="5:5" ht="12.75" x14ac:dyDescent="0.35">
      <c r="E797" s="44"/>
    </row>
    <row r="798" spans="5:5" ht="12.75" x14ac:dyDescent="0.35">
      <c r="E798" s="44"/>
    </row>
    <row r="799" spans="5:5" ht="12.75" x14ac:dyDescent="0.35">
      <c r="E799" s="44"/>
    </row>
    <row r="800" spans="5:5" ht="12.75" x14ac:dyDescent="0.35">
      <c r="E800" s="44"/>
    </row>
    <row r="801" spans="5:5" ht="12.75" x14ac:dyDescent="0.35">
      <c r="E801" s="44"/>
    </row>
    <row r="802" spans="5:5" ht="12.75" x14ac:dyDescent="0.35">
      <c r="E802" s="44"/>
    </row>
    <row r="803" spans="5:5" ht="12.75" x14ac:dyDescent="0.35">
      <c r="E803" s="44"/>
    </row>
    <row r="804" spans="5:5" ht="12.75" x14ac:dyDescent="0.35">
      <c r="E804" s="44"/>
    </row>
    <row r="805" spans="5:5" ht="12.75" x14ac:dyDescent="0.35">
      <c r="E805" s="44"/>
    </row>
    <row r="806" spans="5:5" ht="12.75" x14ac:dyDescent="0.35">
      <c r="E806" s="44"/>
    </row>
    <row r="807" spans="5:5" ht="12.75" x14ac:dyDescent="0.35">
      <c r="E807" s="44"/>
    </row>
    <row r="808" spans="5:5" ht="12.75" x14ac:dyDescent="0.35">
      <c r="E808" s="44"/>
    </row>
    <row r="809" spans="5:5" ht="12.75" x14ac:dyDescent="0.35">
      <c r="E809" s="44"/>
    </row>
    <row r="810" spans="5:5" ht="12.75" x14ac:dyDescent="0.35">
      <c r="E810" s="44"/>
    </row>
    <row r="811" spans="5:5" ht="12.75" x14ac:dyDescent="0.35">
      <c r="E811" s="44"/>
    </row>
    <row r="812" spans="5:5" ht="12.75" x14ac:dyDescent="0.35">
      <c r="E812" s="44"/>
    </row>
    <row r="813" spans="5:5" ht="12.75" x14ac:dyDescent="0.35">
      <c r="E813" s="44"/>
    </row>
    <row r="814" spans="5:5" ht="12.75" x14ac:dyDescent="0.35">
      <c r="E814" s="44"/>
    </row>
    <row r="815" spans="5:5" ht="12.75" x14ac:dyDescent="0.35">
      <c r="E815" s="44"/>
    </row>
    <row r="816" spans="5:5" ht="12.75" x14ac:dyDescent="0.35">
      <c r="E816" s="44"/>
    </row>
    <row r="817" spans="5:5" ht="12.75" x14ac:dyDescent="0.35">
      <c r="E817" s="44"/>
    </row>
    <row r="818" spans="5:5" ht="12.75" x14ac:dyDescent="0.35">
      <c r="E818" s="44"/>
    </row>
    <row r="819" spans="5:5" ht="12.75" x14ac:dyDescent="0.35">
      <c r="E819" s="44"/>
    </row>
    <row r="820" spans="5:5" ht="12.75" x14ac:dyDescent="0.35">
      <c r="E820" s="44"/>
    </row>
    <row r="821" spans="5:5" ht="12.75" x14ac:dyDescent="0.35">
      <c r="E821" s="44"/>
    </row>
    <row r="822" spans="5:5" ht="12.75" x14ac:dyDescent="0.35">
      <c r="E822" s="44"/>
    </row>
    <row r="823" spans="5:5" ht="12.75" x14ac:dyDescent="0.35">
      <c r="E823" s="44"/>
    </row>
    <row r="824" spans="5:5" ht="12.75" x14ac:dyDescent="0.35">
      <c r="E824" s="44"/>
    </row>
    <row r="825" spans="5:5" ht="12.75" x14ac:dyDescent="0.35">
      <c r="E825" s="44"/>
    </row>
    <row r="826" spans="5:5" ht="12.75" x14ac:dyDescent="0.35">
      <c r="E826" s="44"/>
    </row>
    <row r="827" spans="5:5" ht="12.75" x14ac:dyDescent="0.35">
      <c r="E827" s="44"/>
    </row>
    <row r="828" spans="5:5" ht="12.75" x14ac:dyDescent="0.35">
      <c r="E828" s="44"/>
    </row>
    <row r="829" spans="5:5" ht="12.75" x14ac:dyDescent="0.35">
      <c r="E829" s="44"/>
    </row>
    <row r="830" spans="5:5" ht="12.75" x14ac:dyDescent="0.35">
      <c r="E830" s="44"/>
    </row>
    <row r="831" spans="5:5" ht="12.75" x14ac:dyDescent="0.35">
      <c r="E831" s="44"/>
    </row>
    <row r="832" spans="5:5" ht="12.75" x14ac:dyDescent="0.35">
      <c r="E832" s="44"/>
    </row>
    <row r="833" spans="5:5" ht="12.75" x14ac:dyDescent="0.35">
      <c r="E833" s="44"/>
    </row>
    <row r="834" spans="5:5" ht="12.75" x14ac:dyDescent="0.35">
      <c r="E834" s="44"/>
    </row>
    <row r="835" spans="5:5" ht="12.75" x14ac:dyDescent="0.35">
      <c r="E835" s="44"/>
    </row>
    <row r="836" spans="5:5" ht="12.75" x14ac:dyDescent="0.35">
      <c r="E836" s="44"/>
    </row>
    <row r="837" spans="5:5" ht="12.75" x14ac:dyDescent="0.35">
      <c r="E837" s="44"/>
    </row>
    <row r="838" spans="5:5" ht="12.75" x14ac:dyDescent="0.35">
      <c r="E838" s="44"/>
    </row>
    <row r="839" spans="5:5" ht="12.75" x14ac:dyDescent="0.35">
      <c r="E839" s="44"/>
    </row>
    <row r="840" spans="5:5" ht="12.75" x14ac:dyDescent="0.35">
      <c r="E840" s="44"/>
    </row>
    <row r="841" spans="5:5" ht="12.75" x14ac:dyDescent="0.35">
      <c r="E841" s="44"/>
    </row>
    <row r="842" spans="5:5" ht="12.75" x14ac:dyDescent="0.35">
      <c r="E842" s="44"/>
    </row>
    <row r="843" spans="5:5" ht="12.75" x14ac:dyDescent="0.35">
      <c r="E843" s="44"/>
    </row>
    <row r="844" spans="5:5" ht="12.75" x14ac:dyDescent="0.35">
      <c r="E844" s="44"/>
    </row>
    <row r="845" spans="5:5" ht="12.75" x14ac:dyDescent="0.35">
      <c r="E845" s="44"/>
    </row>
    <row r="846" spans="5:5" ht="12.75" x14ac:dyDescent="0.35">
      <c r="E846" s="44"/>
    </row>
    <row r="847" spans="5:5" ht="12.75" x14ac:dyDescent="0.35">
      <c r="E847" s="44"/>
    </row>
    <row r="848" spans="5:5" ht="12.75" x14ac:dyDescent="0.35">
      <c r="E848" s="44"/>
    </row>
    <row r="849" spans="5:5" ht="12.75" x14ac:dyDescent="0.35">
      <c r="E849" s="44"/>
    </row>
    <row r="850" spans="5:5" ht="12.75" x14ac:dyDescent="0.35">
      <c r="E850" s="44"/>
    </row>
    <row r="851" spans="5:5" ht="12.75" x14ac:dyDescent="0.35">
      <c r="E851" s="44"/>
    </row>
    <row r="852" spans="5:5" ht="12.75" x14ac:dyDescent="0.35">
      <c r="E852" s="44"/>
    </row>
    <row r="853" spans="5:5" ht="12.75" x14ac:dyDescent="0.35">
      <c r="E853" s="44"/>
    </row>
    <row r="854" spans="5:5" ht="12.75" x14ac:dyDescent="0.35">
      <c r="E854" s="44"/>
    </row>
    <row r="855" spans="5:5" ht="12.75" x14ac:dyDescent="0.35">
      <c r="E855" s="44"/>
    </row>
    <row r="856" spans="5:5" ht="12.75" x14ac:dyDescent="0.35">
      <c r="E856" s="44"/>
    </row>
    <row r="857" spans="5:5" ht="12.75" x14ac:dyDescent="0.35">
      <c r="E857" s="44"/>
    </row>
    <row r="858" spans="5:5" ht="12.75" x14ac:dyDescent="0.35">
      <c r="E858" s="44"/>
    </row>
    <row r="859" spans="5:5" ht="12.75" x14ac:dyDescent="0.35">
      <c r="E859" s="44"/>
    </row>
    <row r="860" spans="5:5" ht="12.75" x14ac:dyDescent="0.35">
      <c r="E860" s="44"/>
    </row>
    <row r="861" spans="5:5" ht="12.75" x14ac:dyDescent="0.35">
      <c r="E861" s="44"/>
    </row>
    <row r="862" spans="5:5" ht="12.75" x14ac:dyDescent="0.35">
      <c r="E862" s="44"/>
    </row>
    <row r="863" spans="5:5" ht="12.75" x14ac:dyDescent="0.35">
      <c r="E863" s="44"/>
    </row>
    <row r="864" spans="5:5" ht="12.75" x14ac:dyDescent="0.35">
      <c r="E864" s="44"/>
    </row>
    <row r="865" spans="5:5" ht="12.75" x14ac:dyDescent="0.35">
      <c r="E865" s="44"/>
    </row>
    <row r="866" spans="5:5" ht="12.75" x14ac:dyDescent="0.35">
      <c r="E866" s="44"/>
    </row>
    <row r="867" spans="5:5" ht="12.75" x14ac:dyDescent="0.35">
      <c r="E867" s="44"/>
    </row>
    <row r="868" spans="5:5" ht="12.75" x14ac:dyDescent="0.35">
      <c r="E868" s="44"/>
    </row>
    <row r="869" spans="5:5" ht="12.75" x14ac:dyDescent="0.35">
      <c r="E869" s="44"/>
    </row>
    <row r="870" spans="5:5" ht="12.75" x14ac:dyDescent="0.35">
      <c r="E870" s="44"/>
    </row>
    <row r="871" spans="5:5" ht="12.75" x14ac:dyDescent="0.35">
      <c r="E871" s="44"/>
    </row>
    <row r="872" spans="5:5" ht="12.75" x14ac:dyDescent="0.35">
      <c r="E872" s="44"/>
    </row>
    <row r="873" spans="5:5" ht="12.75" x14ac:dyDescent="0.35">
      <c r="E873" s="44"/>
    </row>
    <row r="874" spans="5:5" ht="12.75" x14ac:dyDescent="0.35">
      <c r="E874" s="44"/>
    </row>
    <row r="875" spans="5:5" ht="12.75" x14ac:dyDescent="0.35">
      <c r="E875" s="44"/>
    </row>
    <row r="876" spans="5:5" ht="12.75" x14ac:dyDescent="0.35">
      <c r="E876" s="44"/>
    </row>
    <row r="877" spans="5:5" ht="12.75" x14ac:dyDescent="0.35">
      <c r="E877" s="44"/>
    </row>
    <row r="878" spans="5:5" ht="12.75" x14ac:dyDescent="0.35">
      <c r="E878" s="44"/>
    </row>
    <row r="879" spans="5:5" ht="12.75" x14ac:dyDescent="0.35">
      <c r="E879" s="44"/>
    </row>
    <row r="880" spans="5:5" ht="12.75" x14ac:dyDescent="0.35">
      <c r="E880" s="44"/>
    </row>
    <row r="881" spans="5:5" ht="12.75" x14ac:dyDescent="0.35">
      <c r="E881" s="44"/>
    </row>
    <row r="882" spans="5:5" ht="12.75" x14ac:dyDescent="0.35">
      <c r="E882" s="44"/>
    </row>
    <row r="883" spans="5:5" ht="12.75" x14ac:dyDescent="0.35">
      <c r="E883" s="44"/>
    </row>
    <row r="884" spans="5:5" ht="12.75" x14ac:dyDescent="0.35">
      <c r="E884" s="44"/>
    </row>
    <row r="885" spans="5:5" ht="12.75" x14ac:dyDescent="0.35">
      <c r="E885" s="44"/>
    </row>
    <row r="886" spans="5:5" ht="12.75" x14ac:dyDescent="0.35">
      <c r="E886" s="44"/>
    </row>
    <row r="887" spans="5:5" ht="12.75" x14ac:dyDescent="0.35">
      <c r="E887" s="44"/>
    </row>
    <row r="888" spans="5:5" ht="12.75" x14ac:dyDescent="0.35">
      <c r="E888" s="44"/>
    </row>
    <row r="889" spans="5:5" ht="12.75" x14ac:dyDescent="0.35">
      <c r="E889" s="44"/>
    </row>
    <row r="890" spans="5:5" ht="12.75" x14ac:dyDescent="0.35">
      <c r="E890" s="44"/>
    </row>
    <row r="891" spans="5:5" ht="12.75" x14ac:dyDescent="0.35">
      <c r="E891" s="44"/>
    </row>
    <row r="892" spans="5:5" ht="12.75" x14ac:dyDescent="0.35">
      <c r="E892" s="44"/>
    </row>
    <row r="893" spans="5:5" ht="12.75" x14ac:dyDescent="0.35">
      <c r="E893" s="44"/>
    </row>
    <row r="894" spans="5:5" ht="12.75" x14ac:dyDescent="0.35">
      <c r="E894" s="44"/>
    </row>
    <row r="895" spans="5:5" ht="12.75" x14ac:dyDescent="0.35">
      <c r="E895" s="44"/>
    </row>
    <row r="896" spans="5:5" ht="12.75" x14ac:dyDescent="0.35">
      <c r="E896" s="44"/>
    </row>
    <row r="897" spans="5:5" ht="12.75" x14ac:dyDescent="0.35">
      <c r="E897" s="44"/>
    </row>
    <row r="898" spans="5:5" ht="12.75" x14ac:dyDescent="0.35">
      <c r="E898" s="44"/>
    </row>
    <row r="899" spans="5:5" ht="12.75" x14ac:dyDescent="0.35">
      <c r="E899" s="44"/>
    </row>
    <row r="900" spans="5:5" ht="12.75" x14ac:dyDescent="0.35">
      <c r="E900" s="44"/>
    </row>
    <row r="901" spans="5:5" ht="12.75" x14ac:dyDescent="0.35">
      <c r="E901" s="44"/>
    </row>
    <row r="902" spans="5:5" ht="12.75" x14ac:dyDescent="0.35">
      <c r="E902" s="44"/>
    </row>
    <row r="903" spans="5:5" ht="12.75" x14ac:dyDescent="0.35">
      <c r="E903" s="44"/>
    </row>
    <row r="904" spans="5:5" ht="12.75" x14ac:dyDescent="0.35">
      <c r="E904" s="44"/>
    </row>
    <row r="905" spans="5:5" ht="12.75" x14ac:dyDescent="0.35">
      <c r="E905" s="44"/>
    </row>
    <row r="906" spans="5:5" ht="12.75" x14ac:dyDescent="0.35">
      <c r="E906" s="44"/>
    </row>
    <row r="907" spans="5:5" ht="12.75" x14ac:dyDescent="0.35">
      <c r="E907" s="44"/>
    </row>
    <row r="908" spans="5:5" ht="12.75" x14ac:dyDescent="0.35">
      <c r="E908" s="44"/>
    </row>
    <row r="909" spans="5:5" ht="12.75" x14ac:dyDescent="0.35">
      <c r="E909" s="44"/>
    </row>
    <row r="910" spans="5:5" ht="12.75" x14ac:dyDescent="0.35">
      <c r="E910" s="44"/>
    </row>
    <row r="911" spans="5:5" ht="12.75" x14ac:dyDescent="0.35">
      <c r="E911" s="44"/>
    </row>
    <row r="912" spans="5:5" ht="12.75" x14ac:dyDescent="0.35">
      <c r="E912" s="44"/>
    </row>
    <row r="913" spans="5:5" ht="12.75" x14ac:dyDescent="0.35">
      <c r="E913" s="44"/>
    </row>
    <row r="914" spans="5:5" ht="12.75" x14ac:dyDescent="0.35">
      <c r="E914" s="44"/>
    </row>
    <row r="915" spans="5:5" ht="12.75" x14ac:dyDescent="0.35">
      <c r="E915" s="44"/>
    </row>
    <row r="916" spans="5:5" ht="12.75" x14ac:dyDescent="0.35">
      <c r="E916" s="44"/>
    </row>
    <row r="917" spans="5:5" ht="12.75" x14ac:dyDescent="0.35">
      <c r="E917" s="44"/>
    </row>
    <row r="918" spans="5:5" ht="12.75" x14ac:dyDescent="0.35">
      <c r="E918" s="44"/>
    </row>
    <row r="919" spans="5:5" ht="12.75" x14ac:dyDescent="0.35">
      <c r="E919" s="44"/>
    </row>
    <row r="920" spans="5:5" ht="12.75" x14ac:dyDescent="0.35">
      <c r="E920" s="44"/>
    </row>
    <row r="921" spans="5:5" ht="12.75" x14ac:dyDescent="0.35">
      <c r="E921" s="44"/>
    </row>
    <row r="922" spans="5:5" ht="12.75" x14ac:dyDescent="0.35">
      <c r="E922" s="44"/>
    </row>
    <row r="923" spans="5:5" ht="12.75" x14ac:dyDescent="0.35">
      <c r="E923" s="44"/>
    </row>
    <row r="924" spans="5:5" ht="12.75" x14ac:dyDescent="0.35">
      <c r="E924" s="44"/>
    </row>
    <row r="925" spans="5:5" ht="12.75" x14ac:dyDescent="0.35">
      <c r="E925" s="44"/>
    </row>
    <row r="926" spans="5:5" ht="12.75" x14ac:dyDescent="0.35">
      <c r="E926" s="44"/>
    </row>
    <row r="927" spans="5:5" ht="12.75" x14ac:dyDescent="0.35">
      <c r="E927" s="44"/>
    </row>
    <row r="928" spans="5:5" ht="12.75" x14ac:dyDescent="0.35">
      <c r="E928" s="44"/>
    </row>
    <row r="929" spans="5:5" ht="12.75" x14ac:dyDescent="0.35">
      <c r="E929" s="44"/>
    </row>
    <row r="930" spans="5:5" ht="12.75" x14ac:dyDescent="0.35">
      <c r="E930" s="44"/>
    </row>
    <row r="931" spans="5:5" ht="12.75" x14ac:dyDescent="0.35">
      <c r="E931" s="44"/>
    </row>
    <row r="932" spans="5:5" ht="12.75" x14ac:dyDescent="0.35">
      <c r="E932" s="44"/>
    </row>
    <row r="933" spans="5:5" ht="12.75" x14ac:dyDescent="0.35">
      <c r="E933" s="44"/>
    </row>
    <row r="934" spans="5:5" ht="12.75" x14ac:dyDescent="0.35">
      <c r="E934" s="44"/>
    </row>
    <row r="935" spans="5:5" ht="12.75" x14ac:dyDescent="0.35">
      <c r="E935" s="44"/>
    </row>
    <row r="936" spans="5:5" ht="12.75" x14ac:dyDescent="0.35">
      <c r="E936" s="44"/>
    </row>
    <row r="937" spans="5:5" ht="12.75" x14ac:dyDescent="0.35">
      <c r="E937" s="44"/>
    </row>
    <row r="938" spans="5:5" ht="12.75" x14ac:dyDescent="0.35">
      <c r="E938" s="44"/>
    </row>
    <row r="939" spans="5:5" ht="12.75" x14ac:dyDescent="0.35">
      <c r="E939" s="44"/>
    </row>
    <row r="940" spans="5:5" ht="12.75" x14ac:dyDescent="0.35">
      <c r="E940" s="44"/>
    </row>
    <row r="941" spans="5:5" ht="12.75" x14ac:dyDescent="0.35">
      <c r="E941" s="44"/>
    </row>
    <row r="942" spans="5:5" ht="12.75" x14ac:dyDescent="0.35">
      <c r="E942" s="44"/>
    </row>
    <row r="943" spans="5:5" ht="12.75" x14ac:dyDescent="0.35">
      <c r="E943" s="44"/>
    </row>
    <row r="944" spans="5:5" ht="12.75" x14ac:dyDescent="0.35">
      <c r="E944" s="44"/>
    </row>
    <row r="945" spans="5:5" ht="12.75" x14ac:dyDescent="0.35">
      <c r="E945" s="44"/>
    </row>
    <row r="946" spans="5:5" ht="12.75" x14ac:dyDescent="0.35">
      <c r="E946" s="44"/>
    </row>
    <row r="947" spans="5:5" ht="12.75" x14ac:dyDescent="0.35"/>
    <row r="948" spans="5:5" ht="12.75" x14ac:dyDescent="0.35"/>
    <row r="949" spans="5:5" ht="12.75" x14ac:dyDescent="0.35"/>
    <row r="950" spans="5:5" ht="12.75" x14ac:dyDescent="0.35"/>
    <row r="951" spans="5:5" ht="12.75" x14ac:dyDescent="0.35"/>
    <row r="952" spans="5:5" ht="12.75" x14ac:dyDescent="0.35"/>
    <row r="953" spans="5:5" ht="12.75" x14ac:dyDescent="0.35"/>
    <row r="954" spans="5:5" ht="12.75" x14ac:dyDescent="0.35"/>
    <row r="955" spans="5:5" ht="12.75" x14ac:dyDescent="0.35"/>
    <row r="956" spans="5:5" ht="12.75" x14ac:dyDescent="0.35"/>
    <row r="957" spans="5:5" ht="12.75" x14ac:dyDescent="0.35"/>
    <row r="958" spans="5:5" ht="12.75" x14ac:dyDescent="0.35"/>
    <row r="959" spans="5:5" ht="12.75" x14ac:dyDescent="0.35"/>
    <row r="960" spans="5:5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</sheetData>
  <dataValidations disablePrompts="1" count="1">
    <dataValidation type="list" allowBlank="1" sqref="C3:D12" xr:uid="{3D18A293-946D-4FC6-8E4F-9ACFE6D917A4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Trips</vt:lpstr>
      <vt:lpstr>Travelers</vt:lpstr>
      <vt:lpstr>Expenses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Narvaes</cp:lastModifiedBy>
  <dcterms:modified xsi:type="dcterms:W3CDTF">2026-09-17T15:58:40Z</dcterms:modified>
</cp:coreProperties>
</file>